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ahha985-my.sharepoint.com/personal/ahmed_elhassan_ahha985_onmicrosoft_com/Documents/MO7RAR/"/>
    </mc:Choice>
  </mc:AlternateContent>
  <xr:revisionPtr revIDLastSave="187" documentId="8_{3A955D6E-A5BF-4AEA-9DEC-6F01241B9FCD}" xr6:coauthVersionLast="47" xr6:coauthVersionMax="47" xr10:uidLastSave="{B29C1D06-01AC-453C-9FD9-B48A6A88F2B0}"/>
  <bookViews>
    <workbookView xWindow="-108" yWindow="-108" windowWidth="23256" windowHeight="12456" tabRatio="891" xr2:uid="{57A2C906-BE4D-4E26-86A3-29F09F57F3DE}"/>
  </bookViews>
  <sheets>
    <sheet name="INDEX" sheetId="18" r:id="rId1"/>
    <sheet name="Data" sheetId="93" r:id="rId2"/>
    <sheet name="Rename" sheetId="26" r:id="rId3"/>
    <sheet name="CopyFiles" sheetId="27" r:id="rId4"/>
    <sheet name="LISTS" sheetId="97" r:id="rId5"/>
  </sheets>
  <functionGroups builtInGroupCount="19"/>
  <externalReferences>
    <externalReference r:id="rId6"/>
  </externalReferences>
  <definedNames>
    <definedName name="_Fill" hidden="1">[1]Barêmes!#REF!</definedName>
    <definedName name="_xlnm._FilterDatabase" localSheetId="3" hidden="1">CopyFiles!$C$10:$G$242</definedName>
    <definedName name="ExternalData_1" localSheetId="1" hidden="1">Data!$A$10:$AK$22</definedName>
    <definedName name="HR_Code_Staff">MS_Data_TBL[HR code]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" i="93" l="1"/>
  <c r="E17" i="26"/>
  <c r="E16" i="26"/>
  <c r="F16" i="26" s="1"/>
  <c r="E15" i="26"/>
  <c r="E14" i="26"/>
  <c r="E13" i="26"/>
  <c r="E12" i="26"/>
  <c r="E11" i="26"/>
  <c r="F17" i="26" l="1"/>
  <c r="D17" i="26" s="1"/>
  <c r="D16" i="26"/>
  <c r="F15" i="26"/>
  <c r="D15" i="26" s="1"/>
  <c r="F14" i="26"/>
  <c r="D14" i="26" s="1"/>
  <c r="F13" i="26"/>
  <c r="D13" i="26" s="1"/>
  <c r="F12" i="26"/>
  <c r="D12" i="26" s="1"/>
  <c r="F11" i="26"/>
  <c r="D11" i="26" s="1"/>
  <c r="B8" i="93"/>
  <c r="AG9" i="93" l="1"/>
  <c r="AH9" i="93"/>
  <c r="AI9" i="93"/>
  <c r="AJ9" i="93"/>
  <c r="AK9" i="93"/>
  <c r="AF9" i="93"/>
  <c r="B9" i="93"/>
  <c r="C9" i="93"/>
  <c r="D9" i="93"/>
  <c r="E9" i="93"/>
  <c r="F9" i="93"/>
  <c r="G9" i="93"/>
  <c r="H9" i="93"/>
  <c r="I9" i="93"/>
  <c r="J9" i="93"/>
  <c r="K9" i="93"/>
  <c r="L9" i="93"/>
  <c r="M9" i="93"/>
  <c r="N9" i="93"/>
  <c r="O9" i="93"/>
  <c r="P9" i="93"/>
  <c r="Q9" i="93"/>
  <c r="R9" i="93"/>
  <c r="S9" i="93"/>
  <c r="T9" i="93"/>
  <c r="U9" i="93"/>
  <c r="V9" i="93"/>
  <c r="W9" i="93"/>
  <c r="X9" i="93"/>
  <c r="Z9" i="93"/>
  <c r="AA9" i="93"/>
  <c r="AB9" i="93"/>
  <c r="AC9" i="93"/>
  <c r="AD9" i="93"/>
  <c r="AE9" i="93"/>
  <c r="A9" i="93"/>
  <c r="F29" i="27" l="1"/>
  <c r="F28" i="27"/>
  <c r="E28" i="27" s="1"/>
  <c r="H29" i="27" l="1"/>
  <c r="E29" i="27"/>
  <c r="H28" i="27"/>
  <c r="F242" i="27" l="1"/>
  <c r="G242" i="27"/>
  <c r="F237" i="27"/>
  <c r="F238" i="27"/>
  <c r="F239" i="27"/>
  <c r="F240" i="27"/>
  <c r="F241" i="27"/>
  <c r="G237" i="27"/>
  <c r="G238" i="27"/>
  <c r="G239" i="27"/>
  <c r="G240" i="27"/>
  <c r="G241" i="27"/>
  <c r="F233" i="27"/>
  <c r="F234" i="27"/>
  <c r="F235" i="27"/>
  <c r="F236" i="27"/>
  <c r="G233" i="27"/>
  <c r="G234" i="27"/>
  <c r="G235" i="27"/>
  <c r="G236" i="27"/>
  <c r="F222" i="27"/>
  <c r="F223" i="27"/>
  <c r="F224" i="27"/>
  <c r="F225" i="27"/>
  <c r="F226" i="27"/>
  <c r="F227" i="27"/>
  <c r="F228" i="27"/>
  <c r="F229" i="27"/>
  <c r="F230" i="27"/>
  <c r="F231" i="27"/>
  <c r="F232" i="27"/>
  <c r="G222" i="27"/>
  <c r="G223" i="27"/>
  <c r="G224" i="27"/>
  <c r="G225" i="27"/>
  <c r="G226" i="27"/>
  <c r="G227" i="27"/>
  <c r="G228" i="27"/>
  <c r="G229" i="27"/>
  <c r="G230" i="27"/>
  <c r="G231" i="27"/>
  <c r="G232" i="27"/>
  <c r="H228" i="27" l="1"/>
  <c r="E228" i="27"/>
  <c r="H237" i="27"/>
  <c r="E237" i="27"/>
  <c r="H227" i="27"/>
  <c r="E227" i="27"/>
  <c r="H229" i="27"/>
  <c r="E229" i="27"/>
  <c r="H238" i="27"/>
  <c r="E238" i="27"/>
  <c r="H226" i="27"/>
  <c r="E226" i="27"/>
  <c r="H242" i="27"/>
  <c r="E242" i="27"/>
  <c r="H225" i="27"/>
  <c r="E225" i="27"/>
  <c r="H236" i="27"/>
  <c r="E236" i="27"/>
  <c r="H232" i="27"/>
  <c r="E232" i="27"/>
  <c r="H224" i="27"/>
  <c r="E224" i="27"/>
  <c r="H235" i="27"/>
  <c r="E235" i="27"/>
  <c r="H241" i="27"/>
  <c r="E241" i="27"/>
  <c r="H231" i="27"/>
  <c r="E231" i="27"/>
  <c r="H223" i="27"/>
  <c r="E223" i="27"/>
  <c r="H234" i="27"/>
  <c r="E234" i="27"/>
  <c r="H240" i="27"/>
  <c r="E240" i="27"/>
  <c r="H230" i="27"/>
  <c r="E230" i="27"/>
  <c r="H222" i="27"/>
  <c r="E222" i="27"/>
  <c r="H233" i="27"/>
  <c r="E233" i="27"/>
  <c r="H239" i="27"/>
  <c r="E239" i="27"/>
  <c r="C226" i="27"/>
  <c r="A226" i="27" s="1"/>
  <c r="C225" i="27"/>
  <c r="B241" i="27"/>
  <c r="C242" i="27"/>
  <c r="D242" i="27" s="1"/>
  <c r="C229" i="27"/>
  <c r="C233" i="27"/>
  <c r="A233" i="27" s="1"/>
  <c r="C234" i="27"/>
  <c r="A234" i="27" s="1"/>
  <c r="C241" i="27"/>
  <c r="D241" i="27" s="1"/>
  <c r="C238" i="27"/>
  <c r="B242" i="27"/>
  <c r="A242" i="27"/>
  <c r="A238" i="27"/>
  <c r="A225" i="27"/>
  <c r="C240" i="27"/>
  <c r="C239" i="27"/>
  <c r="A241" i="27"/>
  <c r="C237" i="27"/>
  <c r="A237" i="27" s="1"/>
  <c r="C236" i="27"/>
  <c r="A236" i="27" s="1"/>
  <c r="C235" i="27"/>
  <c r="A235" i="27" s="1"/>
  <c r="C232" i="27"/>
  <c r="C231" i="27"/>
  <c r="C223" i="27"/>
  <c r="A223" i="27" s="1"/>
  <c r="A229" i="27"/>
  <c r="C224" i="27"/>
  <c r="A224" i="27" s="1"/>
  <c r="C230" i="27"/>
  <c r="C222" i="27"/>
  <c r="C228" i="27"/>
  <c r="C227" i="27"/>
  <c r="A227" i="27" s="1"/>
  <c r="F221" i="27"/>
  <c r="G221" i="27"/>
  <c r="F218" i="27"/>
  <c r="F219" i="27"/>
  <c r="F220" i="27"/>
  <c r="G218" i="27"/>
  <c r="G219" i="27"/>
  <c r="G220" i="27"/>
  <c r="F161" i="27"/>
  <c r="F162" i="27"/>
  <c r="F163" i="27"/>
  <c r="E163" i="27" s="1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G161" i="27"/>
  <c r="G162" i="27"/>
  <c r="G163" i="27"/>
  <c r="G164" i="27"/>
  <c r="G165" i="27"/>
  <c r="G166" i="27"/>
  <c r="G167" i="27"/>
  <c r="G168" i="27"/>
  <c r="G169" i="27"/>
  <c r="G170" i="27"/>
  <c r="G171" i="27"/>
  <c r="G172" i="27"/>
  <c r="G173" i="27"/>
  <c r="G174" i="27"/>
  <c r="G175" i="27"/>
  <c r="G176" i="27"/>
  <c r="G177" i="27"/>
  <c r="G178" i="27"/>
  <c r="G179" i="27"/>
  <c r="G180" i="27"/>
  <c r="G181" i="27"/>
  <c r="G182" i="27"/>
  <c r="G183" i="27"/>
  <c r="G184" i="27"/>
  <c r="G185" i="27"/>
  <c r="G186" i="27"/>
  <c r="G187" i="27"/>
  <c r="G188" i="27"/>
  <c r="G189" i="27"/>
  <c r="G190" i="27"/>
  <c r="G191" i="27"/>
  <c r="G192" i="27"/>
  <c r="G193" i="27"/>
  <c r="G194" i="27"/>
  <c r="G195" i="27"/>
  <c r="G196" i="27"/>
  <c r="G197" i="27"/>
  <c r="G198" i="27"/>
  <c r="G199" i="27"/>
  <c r="G200" i="27"/>
  <c r="G201" i="27"/>
  <c r="G202" i="27"/>
  <c r="G203" i="27"/>
  <c r="G204" i="27"/>
  <c r="G205" i="27"/>
  <c r="G206" i="27"/>
  <c r="G207" i="27"/>
  <c r="G208" i="27"/>
  <c r="G209" i="27"/>
  <c r="G210" i="27"/>
  <c r="G211" i="27"/>
  <c r="G212" i="27"/>
  <c r="G213" i="27"/>
  <c r="G214" i="27"/>
  <c r="G215" i="27"/>
  <c r="G216" i="27"/>
  <c r="G217" i="27"/>
  <c r="H202" i="27" l="1"/>
  <c r="E202" i="27"/>
  <c r="H193" i="27"/>
  <c r="E193" i="27"/>
  <c r="H177" i="27"/>
  <c r="E177" i="27"/>
  <c r="H169" i="27"/>
  <c r="E169" i="27"/>
  <c r="H221" i="27"/>
  <c r="E221" i="27"/>
  <c r="H162" i="27"/>
  <c r="E162" i="27"/>
  <c r="H209" i="27"/>
  <c r="E209" i="27"/>
  <c r="H185" i="27"/>
  <c r="E185" i="27"/>
  <c r="H161" i="27"/>
  <c r="E161" i="27"/>
  <c r="H216" i="27"/>
  <c r="E216" i="27"/>
  <c r="H208" i="27"/>
  <c r="E208" i="27"/>
  <c r="H200" i="27"/>
  <c r="E200" i="27"/>
  <c r="H192" i="27"/>
  <c r="E192" i="27"/>
  <c r="H184" i="27"/>
  <c r="E184" i="27"/>
  <c r="H176" i="27"/>
  <c r="E176" i="27"/>
  <c r="H168" i="27"/>
  <c r="E168" i="27"/>
  <c r="H186" i="27"/>
  <c r="E186" i="27"/>
  <c r="H201" i="27"/>
  <c r="E201" i="27"/>
  <c r="H215" i="27"/>
  <c r="E215" i="27"/>
  <c r="H199" i="27"/>
  <c r="E199" i="27"/>
  <c r="H191" i="27"/>
  <c r="E191" i="27"/>
  <c r="H183" i="27"/>
  <c r="E183" i="27"/>
  <c r="H175" i="27"/>
  <c r="E175" i="27"/>
  <c r="H167" i="27"/>
  <c r="E167" i="27"/>
  <c r="H178" i="27"/>
  <c r="E178" i="27"/>
  <c r="H217" i="27"/>
  <c r="E217" i="27"/>
  <c r="H207" i="27"/>
  <c r="E207" i="27"/>
  <c r="H214" i="27"/>
  <c r="E214" i="27"/>
  <c r="H206" i="27"/>
  <c r="E206" i="27"/>
  <c r="H198" i="27"/>
  <c r="E198" i="27"/>
  <c r="H190" i="27"/>
  <c r="E190" i="27"/>
  <c r="H182" i="27"/>
  <c r="E182" i="27"/>
  <c r="H174" i="27"/>
  <c r="E174" i="27"/>
  <c r="H166" i="27"/>
  <c r="E166" i="27"/>
  <c r="H194" i="27"/>
  <c r="E194" i="27"/>
  <c r="H205" i="27"/>
  <c r="E205" i="27"/>
  <c r="H189" i="27"/>
  <c r="E189" i="27"/>
  <c r="H173" i="27"/>
  <c r="E173" i="27"/>
  <c r="H220" i="27"/>
  <c r="E220" i="27"/>
  <c r="H170" i="27"/>
  <c r="E170" i="27"/>
  <c r="H213" i="27"/>
  <c r="E213" i="27"/>
  <c r="H197" i="27"/>
  <c r="E197" i="27"/>
  <c r="H181" i="27"/>
  <c r="E181" i="27"/>
  <c r="H165" i="27"/>
  <c r="E165" i="27"/>
  <c r="H212" i="27"/>
  <c r="E212" i="27"/>
  <c r="H204" i="27"/>
  <c r="E204" i="27"/>
  <c r="H196" i="27"/>
  <c r="E196" i="27"/>
  <c r="H188" i="27"/>
  <c r="E188" i="27"/>
  <c r="H180" i="27"/>
  <c r="E180" i="27"/>
  <c r="H172" i="27"/>
  <c r="E172" i="27"/>
  <c r="H164" i="27"/>
  <c r="E164" i="27"/>
  <c r="H219" i="27"/>
  <c r="E219" i="27"/>
  <c r="H210" i="27"/>
  <c r="E210" i="27"/>
  <c r="H211" i="27"/>
  <c r="E211" i="27"/>
  <c r="H203" i="27"/>
  <c r="E203" i="27"/>
  <c r="H195" i="27"/>
  <c r="E195" i="27"/>
  <c r="H187" i="27"/>
  <c r="E187" i="27"/>
  <c r="H179" i="27"/>
  <c r="E179" i="27"/>
  <c r="H171" i="27"/>
  <c r="E171" i="27"/>
  <c r="H218" i="27"/>
  <c r="E218" i="27"/>
  <c r="H163" i="27"/>
  <c r="C216" i="27"/>
  <c r="C208" i="27"/>
  <c r="C200" i="27"/>
  <c r="C192" i="27"/>
  <c r="C184" i="27"/>
  <c r="C176" i="27"/>
  <c r="C168" i="27"/>
  <c r="C215" i="27"/>
  <c r="C207" i="27"/>
  <c r="C199" i="27"/>
  <c r="C191" i="27"/>
  <c r="C183" i="27"/>
  <c r="C175" i="27"/>
  <c r="C167" i="27"/>
  <c r="A240" i="27"/>
  <c r="A239" i="27"/>
  <c r="A222" i="27"/>
  <c r="A231" i="27"/>
  <c r="A230" i="27"/>
  <c r="A232" i="27"/>
  <c r="A228" i="27"/>
  <c r="C196" i="27"/>
  <c r="C172" i="27"/>
  <c r="A172" i="27" s="1"/>
  <c r="C164" i="27"/>
  <c r="A164" i="27" s="1"/>
  <c r="C220" i="27"/>
  <c r="C204" i="27"/>
  <c r="A204" i="27" s="1"/>
  <c r="C188" i="27"/>
  <c r="A188" i="27" s="1"/>
  <c r="C221" i="27"/>
  <c r="C212" i="27"/>
  <c r="A212" i="27" s="1"/>
  <c r="C180" i="27"/>
  <c r="A180" i="27" s="1"/>
  <c r="C219" i="27"/>
  <c r="A219" i="27" s="1"/>
  <c r="C218" i="27"/>
  <c r="A196" i="27"/>
  <c r="A166" i="27"/>
  <c r="C214" i="27"/>
  <c r="C206" i="27"/>
  <c r="A206" i="27" s="1"/>
  <c r="C198" i="27"/>
  <c r="A198" i="27" s="1"/>
  <c r="C190" i="27"/>
  <c r="A190" i="27" s="1"/>
  <c r="C182" i="27"/>
  <c r="A182" i="27" s="1"/>
  <c r="C174" i="27"/>
  <c r="A174" i="27" s="1"/>
  <c r="C166" i="27"/>
  <c r="A216" i="27"/>
  <c r="A208" i="27"/>
  <c r="A200" i="27"/>
  <c r="A192" i="27"/>
  <c r="A184" i="27"/>
  <c r="A176" i="27"/>
  <c r="A168" i="27"/>
  <c r="C213" i="27"/>
  <c r="A213" i="27" s="1"/>
  <c r="C205" i="27"/>
  <c r="A205" i="27" s="1"/>
  <c r="C197" i="27"/>
  <c r="A197" i="27" s="1"/>
  <c r="C189" i="27"/>
  <c r="A189" i="27" s="1"/>
  <c r="C181" i="27"/>
  <c r="A181" i="27" s="1"/>
  <c r="C173" i="27"/>
  <c r="C165" i="27"/>
  <c r="A215" i="27"/>
  <c r="A207" i="27"/>
  <c r="A199" i="27"/>
  <c r="A191" i="27"/>
  <c r="A183" i="27"/>
  <c r="A175" i="27"/>
  <c r="A167" i="27"/>
  <c r="C211" i="27"/>
  <c r="C203" i="27"/>
  <c r="A203" i="27" s="1"/>
  <c r="C195" i="27"/>
  <c r="A195" i="27" s="1"/>
  <c r="C187" i="27"/>
  <c r="A187" i="27" s="1"/>
  <c r="C179" i="27"/>
  <c r="A179" i="27" s="1"/>
  <c r="C171" i="27"/>
  <c r="A171" i="27" s="1"/>
  <c r="C163" i="27"/>
  <c r="A163" i="27" s="1"/>
  <c r="A173" i="27"/>
  <c r="C210" i="27"/>
  <c r="C202" i="27"/>
  <c r="A202" i="27" s="1"/>
  <c r="C194" i="27"/>
  <c r="C186" i="27"/>
  <c r="A186" i="27" s="1"/>
  <c r="C178" i="27"/>
  <c r="C170" i="27"/>
  <c r="A170" i="27" s="1"/>
  <c r="C162" i="27"/>
  <c r="A162" i="27" s="1"/>
  <c r="C217" i="27"/>
  <c r="C209" i="27"/>
  <c r="A209" i="27" s="1"/>
  <c r="C201" i="27"/>
  <c r="A201" i="27" s="1"/>
  <c r="C193" i="27"/>
  <c r="C185" i="27"/>
  <c r="A185" i="27" s="1"/>
  <c r="C177" i="27"/>
  <c r="C169" i="27"/>
  <c r="C161" i="27"/>
  <c r="A161" i="27" s="1"/>
  <c r="A221" i="27" l="1"/>
  <c r="A220" i="27"/>
  <c r="A218" i="27"/>
  <c r="A178" i="27"/>
  <c r="A169" i="27"/>
  <c r="A211" i="27"/>
  <c r="A177" i="27"/>
  <c r="A194" i="27"/>
  <c r="A165" i="27"/>
  <c r="A214" i="27"/>
  <c r="A193" i="27"/>
  <c r="A210" i="27"/>
  <c r="A217" i="27"/>
  <c r="N4" i="26" l="1"/>
  <c r="N3" i="26" l="1"/>
  <c r="O3" i="26" s="1"/>
  <c r="O4" i="26" s="1"/>
  <c r="F18" i="27" l="1"/>
  <c r="F17" i="27"/>
  <c r="H17" i="27" l="1"/>
  <c r="E17" i="27"/>
  <c r="H18" i="27"/>
  <c r="E18" i="27"/>
  <c r="G11" i="27" l="1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06" i="27"/>
  <c r="G107" i="27"/>
  <c r="G108" i="27"/>
  <c r="G109" i="27"/>
  <c r="G110" i="27"/>
  <c r="G111" i="27"/>
  <c r="G112" i="27"/>
  <c r="G113" i="27"/>
  <c r="G114" i="27"/>
  <c r="G115" i="27"/>
  <c r="G116" i="27"/>
  <c r="G117" i="27"/>
  <c r="G118" i="27"/>
  <c r="G119" i="27"/>
  <c r="G120" i="27"/>
  <c r="G121" i="27"/>
  <c r="G122" i="27"/>
  <c r="G123" i="27"/>
  <c r="G124" i="27"/>
  <c r="G125" i="27"/>
  <c r="G126" i="27"/>
  <c r="G127" i="27"/>
  <c r="G128" i="27"/>
  <c r="G129" i="27"/>
  <c r="G130" i="27"/>
  <c r="G131" i="27"/>
  <c r="G132" i="27"/>
  <c r="G133" i="27"/>
  <c r="G134" i="27"/>
  <c r="G135" i="27"/>
  <c r="G136" i="27"/>
  <c r="G137" i="27"/>
  <c r="G138" i="27"/>
  <c r="G139" i="27"/>
  <c r="G140" i="27"/>
  <c r="G141" i="27"/>
  <c r="G142" i="27"/>
  <c r="G143" i="27"/>
  <c r="G144" i="27"/>
  <c r="G145" i="27"/>
  <c r="G146" i="27"/>
  <c r="G147" i="27"/>
  <c r="G148" i="27"/>
  <c r="G149" i="27"/>
  <c r="G150" i="27"/>
  <c r="G151" i="27"/>
  <c r="G152" i="27"/>
  <c r="G153" i="27"/>
  <c r="G154" i="27"/>
  <c r="G155" i="27"/>
  <c r="G156" i="27"/>
  <c r="G157" i="27"/>
  <c r="G158" i="27"/>
  <c r="G159" i="27"/>
  <c r="G160" i="27"/>
  <c r="D1" i="26" l="1"/>
  <c r="F140" i="27" l="1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26" i="27"/>
  <c r="H142" i="27" l="1"/>
  <c r="E142" i="27"/>
  <c r="H132" i="27"/>
  <c r="E132" i="27"/>
  <c r="H131" i="27"/>
  <c r="E131" i="27"/>
  <c r="H149" i="27"/>
  <c r="E149" i="27"/>
  <c r="H147" i="27"/>
  <c r="E147" i="27"/>
  <c r="H130" i="27"/>
  <c r="E130" i="27"/>
  <c r="H133" i="27"/>
  <c r="E133" i="27"/>
  <c r="H139" i="27"/>
  <c r="E139" i="27"/>
  <c r="H146" i="27"/>
  <c r="E146" i="27"/>
  <c r="H137" i="27"/>
  <c r="E137" i="27"/>
  <c r="H129" i="27"/>
  <c r="E129" i="27"/>
  <c r="H150" i="27"/>
  <c r="E150" i="27"/>
  <c r="H156" i="27"/>
  <c r="E156" i="27"/>
  <c r="H155" i="27"/>
  <c r="E155" i="27"/>
  <c r="H126" i="27"/>
  <c r="E126" i="27"/>
  <c r="H153" i="27"/>
  <c r="E153" i="27"/>
  <c r="H145" i="27"/>
  <c r="E145" i="27"/>
  <c r="H136" i="27"/>
  <c r="E136" i="27"/>
  <c r="H128" i="27"/>
  <c r="E128" i="27"/>
  <c r="H158" i="27"/>
  <c r="E158" i="27"/>
  <c r="H157" i="27"/>
  <c r="E157" i="27"/>
  <c r="H148" i="27"/>
  <c r="E148" i="27"/>
  <c r="H154" i="27"/>
  <c r="E154" i="27"/>
  <c r="H152" i="27"/>
  <c r="E152" i="27"/>
  <c r="H144" i="27"/>
  <c r="E144" i="27"/>
  <c r="H135" i="27"/>
  <c r="E135" i="27"/>
  <c r="H127" i="27"/>
  <c r="E127" i="27"/>
  <c r="H141" i="27"/>
  <c r="E141" i="27"/>
  <c r="H138" i="27"/>
  <c r="E138" i="27"/>
  <c r="H160" i="27"/>
  <c r="E160" i="27"/>
  <c r="H159" i="27"/>
  <c r="E159" i="27"/>
  <c r="H151" i="27"/>
  <c r="E151" i="27"/>
  <c r="H143" i="27"/>
  <c r="E143" i="27"/>
  <c r="H134" i="27"/>
  <c r="E134" i="27"/>
  <c r="H140" i="27"/>
  <c r="E140" i="27"/>
  <c r="C153" i="27"/>
  <c r="C145" i="27"/>
  <c r="A145" i="27" s="1"/>
  <c r="C137" i="27"/>
  <c r="A137" i="27" s="1"/>
  <c r="C129" i="27"/>
  <c r="A129" i="27" s="1"/>
  <c r="C152" i="27"/>
  <c r="C148" i="27"/>
  <c r="C130" i="27"/>
  <c r="C154" i="27"/>
  <c r="C132" i="27"/>
  <c r="C138" i="27"/>
  <c r="C146" i="27"/>
  <c r="C134" i="27"/>
  <c r="C150" i="27"/>
  <c r="C136" i="27"/>
  <c r="C156" i="27"/>
  <c r="C140" i="27"/>
  <c r="C158" i="27"/>
  <c r="A158" i="27" s="1"/>
  <c r="C142" i="27"/>
  <c r="C160" i="27"/>
  <c r="C144" i="27"/>
  <c r="C133" i="27"/>
  <c r="C149" i="27"/>
  <c r="C157" i="27"/>
  <c r="C141" i="27"/>
  <c r="C155" i="27"/>
  <c r="C147" i="27"/>
  <c r="C139" i="27"/>
  <c r="C131" i="27"/>
  <c r="A153" i="27"/>
  <c r="C159" i="27"/>
  <c r="C151" i="27"/>
  <c r="C143" i="27"/>
  <c r="C135" i="27"/>
  <c r="C127" i="27"/>
  <c r="C128" i="27"/>
  <c r="A144" i="27" l="1"/>
  <c r="A152" i="27"/>
  <c r="A155" i="27"/>
  <c r="A160" i="27"/>
  <c r="A159" i="27"/>
  <c r="A157" i="27"/>
  <c r="A156" i="27"/>
  <c r="A154" i="27"/>
  <c r="A151" i="27"/>
  <c r="A150" i="27"/>
  <c r="A149" i="27"/>
  <c r="A148" i="27"/>
  <c r="A147" i="27"/>
  <c r="A146" i="27"/>
  <c r="A143" i="27"/>
  <c r="A142" i="27"/>
  <c r="A141" i="27"/>
  <c r="A140" i="27"/>
  <c r="A138" i="27"/>
  <c r="A130" i="27"/>
  <c r="A139" i="27"/>
  <c r="A136" i="27"/>
  <c r="A135" i="27"/>
  <c r="A134" i="27"/>
  <c r="A133" i="27"/>
  <c r="A132" i="27"/>
  <c r="A131" i="27"/>
  <c r="A128" i="27"/>
  <c r="A127" i="27"/>
  <c r="F43" i="27" l="1"/>
  <c r="F11" i="27"/>
  <c r="F12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27" i="27"/>
  <c r="H107" i="27" l="1"/>
  <c r="E107" i="27"/>
  <c r="H34" i="27"/>
  <c r="E34" i="27"/>
  <c r="H122" i="27"/>
  <c r="E122" i="27"/>
  <c r="H114" i="27"/>
  <c r="E114" i="27"/>
  <c r="H106" i="27"/>
  <c r="E106" i="27"/>
  <c r="H98" i="27"/>
  <c r="E98" i="27"/>
  <c r="H90" i="27"/>
  <c r="E90" i="27"/>
  <c r="H82" i="27"/>
  <c r="E82" i="27"/>
  <c r="H74" i="27"/>
  <c r="E74" i="27"/>
  <c r="H66" i="27"/>
  <c r="E66" i="27"/>
  <c r="H58" i="27"/>
  <c r="E58" i="27"/>
  <c r="H50" i="27"/>
  <c r="E50" i="27"/>
  <c r="H41" i="27"/>
  <c r="E41" i="27"/>
  <c r="H33" i="27"/>
  <c r="E33" i="27"/>
  <c r="H83" i="27"/>
  <c r="E83" i="27"/>
  <c r="H97" i="27"/>
  <c r="E97" i="27"/>
  <c r="H73" i="27"/>
  <c r="E73" i="27"/>
  <c r="H65" i="27"/>
  <c r="E65" i="27"/>
  <c r="H57" i="27"/>
  <c r="E57" i="27"/>
  <c r="H49" i="27"/>
  <c r="E49" i="27"/>
  <c r="H40" i="27"/>
  <c r="E40" i="27"/>
  <c r="H32" i="27"/>
  <c r="E32" i="27"/>
  <c r="H123" i="27"/>
  <c r="E123" i="27"/>
  <c r="H51" i="27"/>
  <c r="E51" i="27"/>
  <c r="H89" i="27"/>
  <c r="E89" i="27"/>
  <c r="H112" i="27"/>
  <c r="E112" i="27"/>
  <c r="H104" i="27"/>
  <c r="E104" i="27"/>
  <c r="H96" i="27"/>
  <c r="E96" i="27"/>
  <c r="H88" i="27"/>
  <c r="E88" i="27"/>
  <c r="H80" i="27"/>
  <c r="E80" i="27"/>
  <c r="H72" i="27"/>
  <c r="E72" i="27"/>
  <c r="H64" i="27"/>
  <c r="E64" i="27"/>
  <c r="H56" i="27"/>
  <c r="E56" i="27"/>
  <c r="H48" i="27"/>
  <c r="E48" i="27"/>
  <c r="H39" i="27"/>
  <c r="E39" i="27"/>
  <c r="H31" i="27"/>
  <c r="E31" i="27"/>
  <c r="H59" i="27"/>
  <c r="E59" i="27"/>
  <c r="H105" i="27"/>
  <c r="E105" i="27"/>
  <c r="H119" i="27"/>
  <c r="E119" i="27"/>
  <c r="H111" i="27"/>
  <c r="E111" i="27"/>
  <c r="H103" i="27"/>
  <c r="E103" i="27"/>
  <c r="H95" i="27"/>
  <c r="E95" i="27"/>
  <c r="H87" i="27"/>
  <c r="E87" i="27"/>
  <c r="H79" i="27"/>
  <c r="E79" i="27"/>
  <c r="H71" i="27"/>
  <c r="E71" i="27"/>
  <c r="H63" i="27"/>
  <c r="E63" i="27"/>
  <c r="H55" i="27"/>
  <c r="E55" i="27"/>
  <c r="H47" i="27"/>
  <c r="E47" i="27"/>
  <c r="H38" i="27"/>
  <c r="E38" i="27"/>
  <c r="H30" i="27"/>
  <c r="E30" i="27"/>
  <c r="H115" i="27"/>
  <c r="E115" i="27"/>
  <c r="H42" i="27"/>
  <c r="E42" i="27"/>
  <c r="H113" i="27"/>
  <c r="E113" i="27"/>
  <c r="H27" i="27"/>
  <c r="E27" i="27"/>
  <c r="H118" i="27"/>
  <c r="E118" i="27"/>
  <c r="H110" i="27"/>
  <c r="E110" i="27"/>
  <c r="H102" i="27"/>
  <c r="E102" i="27"/>
  <c r="H94" i="27"/>
  <c r="E94" i="27"/>
  <c r="H86" i="27"/>
  <c r="E86" i="27"/>
  <c r="H78" i="27"/>
  <c r="E78" i="27"/>
  <c r="H70" i="27"/>
  <c r="E70" i="27"/>
  <c r="H62" i="27"/>
  <c r="E62" i="27"/>
  <c r="H54" i="27"/>
  <c r="E54" i="27"/>
  <c r="H46" i="27"/>
  <c r="E46" i="27"/>
  <c r="H37" i="27"/>
  <c r="E37" i="27"/>
  <c r="H12" i="27"/>
  <c r="E12" i="27"/>
  <c r="H99" i="27"/>
  <c r="E99" i="27"/>
  <c r="H75" i="27"/>
  <c r="E75" i="27"/>
  <c r="H121" i="27"/>
  <c r="E121" i="27"/>
  <c r="H120" i="27"/>
  <c r="E120" i="27"/>
  <c r="H117" i="27"/>
  <c r="E117" i="27"/>
  <c r="H101" i="27"/>
  <c r="E101" i="27"/>
  <c r="H93" i="27"/>
  <c r="E93" i="27"/>
  <c r="H85" i="27"/>
  <c r="E85" i="27"/>
  <c r="H77" i="27"/>
  <c r="E77" i="27"/>
  <c r="H69" i="27"/>
  <c r="E69" i="27"/>
  <c r="H61" i="27"/>
  <c r="E61" i="27"/>
  <c r="H53" i="27"/>
  <c r="E53" i="27"/>
  <c r="H45" i="27"/>
  <c r="E45" i="27"/>
  <c r="H36" i="27"/>
  <c r="E36" i="27"/>
  <c r="H11" i="27"/>
  <c r="E11" i="27"/>
  <c r="H91" i="27"/>
  <c r="E91" i="27"/>
  <c r="H67" i="27"/>
  <c r="E67" i="27"/>
  <c r="H81" i="27"/>
  <c r="E81" i="27"/>
  <c r="H125" i="27"/>
  <c r="E125" i="27"/>
  <c r="H109" i="27"/>
  <c r="E109" i="27"/>
  <c r="H124" i="27"/>
  <c r="E124" i="27"/>
  <c r="H116" i="27"/>
  <c r="E116" i="27"/>
  <c r="H108" i="27"/>
  <c r="E108" i="27"/>
  <c r="H100" i="27"/>
  <c r="E100" i="27"/>
  <c r="H92" i="27"/>
  <c r="E92" i="27"/>
  <c r="H84" i="27"/>
  <c r="E84" i="27"/>
  <c r="H76" i="27"/>
  <c r="E76" i="27"/>
  <c r="H68" i="27"/>
  <c r="E68" i="27"/>
  <c r="H60" i="27"/>
  <c r="E60" i="27"/>
  <c r="H52" i="27"/>
  <c r="E52" i="27"/>
  <c r="H44" i="27"/>
  <c r="E44" i="27"/>
  <c r="H35" i="27"/>
  <c r="E35" i="27"/>
  <c r="H43" i="27"/>
  <c r="E43" i="27"/>
  <c r="F13" i="27" l="1"/>
  <c r="F14" i="27"/>
  <c r="F15" i="27"/>
  <c r="F16" i="27"/>
  <c r="F19" i="27"/>
  <c r="F20" i="27"/>
  <c r="F21" i="27"/>
  <c r="F22" i="27"/>
  <c r="F23" i="27"/>
  <c r="F24" i="27"/>
  <c r="F25" i="27"/>
  <c r="F26" i="27"/>
  <c r="H26" i="27" l="1"/>
  <c r="E26" i="27"/>
  <c r="H14" i="27"/>
  <c r="E14" i="27"/>
  <c r="H19" i="27"/>
  <c r="E19" i="27"/>
  <c r="H25" i="27"/>
  <c r="E25" i="27"/>
  <c r="H22" i="27"/>
  <c r="E22" i="27"/>
  <c r="H16" i="27"/>
  <c r="E16" i="27"/>
  <c r="H15" i="27"/>
  <c r="E15" i="27"/>
  <c r="H23" i="27"/>
  <c r="E23" i="27"/>
  <c r="H21" i="27"/>
  <c r="E21" i="27"/>
  <c r="H24" i="27"/>
  <c r="E24" i="27"/>
  <c r="H13" i="27"/>
  <c r="E13" i="27"/>
  <c r="H20" i="27"/>
  <c r="E20" i="27"/>
  <c r="C81" i="27"/>
  <c r="C120" i="27"/>
  <c r="C119" i="27"/>
  <c r="C111" i="27"/>
  <c r="C103" i="27"/>
  <c r="C95" i="27"/>
  <c r="C87" i="27"/>
  <c r="C79" i="27"/>
  <c r="C71" i="27"/>
  <c r="C63" i="27"/>
  <c r="C55" i="27"/>
  <c r="C47" i="27"/>
  <c r="C39" i="27"/>
  <c r="C31" i="27"/>
  <c r="C23" i="27"/>
  <c r="C15" i="27"/>
  <c r="C121" i="27"/>
  <c r="C89" i="27"/>
  <c r="C104" i="27"/>
  <c r="C126" i="27"/>
  <c r="C118" i="27"/>
  <c r="C110" i="27"/>
  <c r="C102" i="27"/>
  <c r="C94" i="27"/>
  <c r="C86" i="27"/>
  <c r="C78" i="27"/>
  <c r="C70" i="27"/>
  <c r="C62" i="27"/>
  <c r="C54" i="27"/>
  <c r="C46" i="27"/>
  <c r="C38" i="27"/>
  <c r="C30" i="27"/>
  <c r="C22" i="27"/>
  <c r="C14" i="27"/>
  <c r="C125" i="27"/>
  <c r="C117" i="27"/>
  <c r="C109" i="27"/>
  <c r="C101" i="27"/>
  <c r="C93" i="27"/>
  <c r="C85" i="27"/>
  <c r="C77" i="27"/>
  <c r="C69" i="27"/>
  <c r="C61" i="27"/>
  <c r="C53" i="27"/>
  <c r="C45" i="27"/>
  <c r="C37" i="27"/>
  <c r="C29" i="27"/>
  <c r="C21" i="27"/>
  <c r="C13" i="27"/>
  <c r="C124" i="27"/>
  <c r="C116" i="27"/>
  <c r="C108" i="27"/>
  <c r="C100" i="27"/>
  <c r="C92" i="27"/>
  <c r="C84" i="27"/>
  <c r="C76" i="27"/>
  <c r="C68" i="27"/>
  <c r="C60" i="27"/>
  <c r="C52" i="27"/>
  <c r="C44" i="27"/>
  <c r="C36" i="27"/>
  <c r="C28" i="27"/>
  <c r="C20" i="27"/>
  <c r="C12" i="27"/>
  <c r="D12" i="27" s="1"/>
  <c r="C123" i="27"/>
  <c r="C115" i="27"/>
  <c r="C107" i="27"/>
  <c r="C99" i="27"/>
  <c r="C91" i="27"/>
  <c r="C83" i="27"/>
  <c r="C75" i="27"/>
  <c r="C67" i="27"/>
  <c r="C59" i="27"/>
  <c r="C51" i="27"/>
  <c r="C43" i="27"/>
  <c r="C35" i="27"/>
  <c r="A35" i="27" s="1"/>
  <c r="C27" i="27"/>
  <c r="C19" i="27"/>
  <c r="B11" i="27"/>
  <c r="C11" i="27"/>
  <c r="A11" i="27" s="1"/>
  <c r="C122" i="27"/>
  <c r="C114" i="27"/>
  <c r="C106" i="27"/>
  <c r="C98" i="27"/>
  <c r="C90" i="27"/>
  <c r="C82" i="27"/>
  <c r="A82" i="27" s="1"/>
  <c r="C74" i="27"/>
  <c r="C66" i="27"/>
  <c r="C58" i="27"/>
  <c r="A58" i="27" s="1"/>
  <c r="C50" i="27"/>
  <c r="A50" i="27" s="1"/>
  <c r="C42" i="27"/>
  <c r="C34" i="27"/>
  <c r="C26" i="27"/>
  <c r="C18" i="27"/>
  <c r="C113" i="27"/>
  <c r="C105" i="27"/>
  <c r="C73" i="27"/>
  <c r="C65" i="27"/>
  <c r="C57" i="27"/>
  <c r="C49" i="27"/>
  <c r="C41" i="27"/>
  <c r="C33" i="27"/>
  <c r="C25" i="27"/>
  <c r="C17" i="27"/>
  <c r="C97" i="27"/>
  <c r="C112" i="27"/>
  <c r="C96" i="27"/>
  <c r="C88" i="27"/>
  <c r="C80" i="27"/>
  <c r="C72" i="27"/>
  <c r="C64" i="27"/>
  <c r="C56" i="27"/>
  <c r="C48" i="27"/>
  <c r="A48" i="27" s="1"/>
  <c r="C40" i="27"/>
  <c r="C32" i="27"/>
  <c r="A32" i="27" s="1"/>
  <c r="C24" i="27"/>
  <c r="C16" i="27"/>
  <c r="A105" i="27" l="1"/>
  <c r="A33" i="27"/>
  <c r="A66" i="27"/>
  <c r="A16" i="27"/>
  <c r="A56" i="27"/>
  <c r="A60" i="27"/>
  <c r="A96" i="27"/>
  <c r="A28" i="27"/>
  <c r="A108" i="27"/>
  <c r="A78" i="27"/>
  <c r="A39" i="27"/>
  <c r="A122" i="27"/>
  <c r="A43" i="27"/>
  <c r="A29" i="27"/>
  <c r="A54" i="27"/>
  <c r="A47" i="27"/>
  <c r="A111" i="27"/>
  <c r="A81" i="27"/>
  <c r="A40" i="27"/>
  <c r="A90" i="27"/>
  <c r="A123" i="27"/>
  <c r="A52" i="27"/>
  <c r="A92" i="27"/>
  <c r="A124" i="27"/>
  <c r="A37" i="27"/>
  <c r="A117" i="27"/>
  <c r="A102" i="27"/>
  <c r="A55" i="27"/>
  <c r="A87" i="27"/>
  <c r="A119" i="27"/>
  <c r="A120" i="27"/>
  <c r="A65" i="27"/>
  <c r="A98" i="27"/>
  <c r="A91" i="27"/>
  <c r="A85" i="27"/>
  <c r="A23" i="27"/>
  <c r="A106" i="27"/>
  <c r="A100" i="27"/>
  <c r="A45" i="27"/>
  <c r="A70" i="27"/>
  <c r="A110" i="27"/>
  <c r="A63" i="27"/>
  <c r="A95" i="27"/>
  <c r="A88" i="27"/>
  <c r="A73" i="27"/>
  <c r="A34" i="27"/>
  <c r="A20" i="27"/>
  <c r="A53" i="27"/>
  <c r="A126" i="27"/>
  <c r="A125" i="27"/>
  <c r="A121" i="27"/>
  <c r="A118" i="27"/>
  <c r="A116" i="27"/>
  <c r="A115" i="27"/>
  <c r="A114" i="27"/>
  <c r="A113" i="27"/>
  <c r="A112" i="27"/>
  <c r="A109" i="27"/>
  <c r="A107" i="27"/>
  <c r="A104" i="27"/>
  <c r="A103" i="27"/>
  <c r="A101" i="27"/>
  <c r="A99" i="27"/>
  <c r="A97" i="27"/>
  <c r="A94" i="27"/>
  <c r="A93" i="27"/>
  <c r="A89" i="27"/>
  <c r="A86" i="27"/>
  <c r="A84" i="27"/>
  <c r="A83" i="27"/>
  <c r="A80" i="27"/>
  <c r="A79" i="27"/>
  <c r="A77" i="27"/>
  <c r="A76" i="27"/>
  <c r="A75" i="27"/>
  <c r="A74" i="27"/>
  <c r="A72" i="27"/>
  <c r="A71" i="27"/>
  <c r="A69" i="27"/>
  <c r="A68" i="27"/>
  <c r="A67" i="27"/>
  <c r="A64" i="27"/>
  <c r="A62" i="27"/>
  <c r="A61" i="27"/>
  <c r="A59" i="27"/>
  <c r="A57" i="27"/>
  <c r="A51" i="27"/>
  <c r="A49" i="27"/>
  <c r="A46" i="27"/>
  <c r="A44" i="27"/>
  <c r="A42" i="27"/>
  <c r="A41" i="27"/>
  <c r="A38" i="27"/>
  <c r="A36" i="27"/>
  <c r="A31" i="27"/>
  <c r="A30" i="27"/>
  <c r="A27" i="27"/>
  <c r="A26" i="27"/>
  <c r="A25" i="27"/>
  <c r="A24" i="27"/>
  <c r="A22" i="27"/>
  <c r="A21" i="27"/>
  <c r="A19" i="27"/>
  <c r="A18" i="27"/>
  <c r="A15" i="27"/>
  <c r="A14" i="27"/>
  <c r="A13" i="27"/>
  <c r="A12" i="27"/>
  <c r="A17" i="27"/>
  <c r="B12" i="27"/>
  <c r="D13" i="27"/>
  <c r="B13" i="27" s="1"/>
  <c r="D14" i="27" l="1"/>
  <c r="B14" i="27" s="1"/>
  <c r="D15" i="27" l="1"/>
  <c r="B15" i="27" s="1"/>
  <c r="D16" i="27" l="1"/>
  <c r="B16" i="27" s="1"/>
  <c r="D17" i="27" l="1"/>
  <c r="B17" i="27" s="1"/>
  <c r="D18" i="27" l="1"/>
  <c r="B18" i="27" s="1"/>
  <c r="D19" i="27" l="1"/>
  <c r="B19" i="27" s="1"/>
  <c r="D20" i="27" l="1"/>
  <c r="B20" i="27" s="1"/>
  <c r="D21" i="27" l="1"/>
  <c r="B21" i="27" s="1"/>
  <c r="D22" i="27" l="1"/>
  <c r="B22" i="27" s="1"/>
  <c r="D23" i="27" l="1"/>
  <c r="B23" i="27" s="1"/>
  <c r="D24" i="27" l="1"/>
  <c r="B24" i="27" s="1"/>
  <c r="D25" i="27" l="1"/>
  <c r="B25" i="27" s="1"/>
  <c r="D26" i="27" l="1"/>
  <c r="B26" i="27" s="1"/>
  <c r="D27" i="27" l="1"/>
  <c r="B27" i="27" s="1"/>
  <c r="D28" i="27" l="1"/>
  <c r="B28" i="27" s="1"/>
  <c r="D29" i="27" l="1"/>
  <c r="B29" i="27" s="1"/>
  <c r="D30" i="27" l="1"/>
  <c r="B30" i="27" s="1"/>
  <c r="D31" i="27" l="1"/>
  <c r="B31" i="27" s="1"/>
  <c r="D32" i="27" l="1"/>
  <c r="B32" i="27" s="1"/>
  <c r="D33" i="27" l="1"/>
  <c r="B33" i="27" s="1"/>
  <c r="D34" i="27" l="1"/>
  <c r="B34" i="27" s="1"/>
  <c r="D35" i="27" l="1"/>
  <c r="B35" i="27" s="1"/>
  <c r="D36" i="27" l="1"/>
  <c r="B36" i="27" s="1"/>
  <c r="D37" i="27" l="1"/>
  <c r="B37" i="27" s="1"/>
  <c r="D38" i="27" l="1"/>
  <c r="B38" i="27" s="1"/>
  <c r="D39" i="27" l="1"/>
  <c r="B39" i="27" s="1"/>
  <c r="D40" i="27" l="1"/>
  <c r="B40" i="27" s="1"/>
  <c r="D41" i="27" l="1"/>
  <c r="B41" i="27" s="1"/>
  <c r="D42" i="27" l="1"/>
  <c r="B42" i="27" s="1"/>
  <c r="D43" i="27" l="1"/>
  <c r="B43" i="27" s="1"/>
  <c r="D44" i="27" l="1"/>
  <c r="B44" i="27" s="1"/>
  <c r="D45" i="27" l="1"/>
  <c r="B45" i="27" s="1"/>
  <c r="D46" i="27" l="1"/>
  <c r="B46" i="27" s="1"/>
  <c r="D47" i="27" l="1"/>
  <c r="B47" i="27" s="1"/>
  <c r="D48" i="27" l="1"/>
  <c r="B48" i="27" s="1"/>
  <c r="D49" i="27" l="1"/>
  <c r="B49" i="27" s="1"/>
  <c r="D50" i="27" l="1"/>
  <c r="B50" i="27" s="1"/>
  <c r="D51" i="27" l="1"/>
  <c r="B51" i="27" s="1"/>
  <c r="D52" i="27" l="1"/>
  <c r="B52" i="27" s="1"/>
  <c r="D53" i="27" l="1"/>
  <c r="B53" i="27" s="1"/>
  <c r="D54" i="27" l="1"/>
  <c r="B54" i="27" s="1"/>
  <c r="D55" i="27" l="1"/>
  <c r="B55" i="27" s="1"/>
  <c r="D56" i="27" l="1"/>
  <c r="B56" i="27" s="1"/>
  <c r="D57" i="27" l="1"/>
  <c r="B57" i="27" s="1"/>
  <c r="D58" i="27" l="1"/>
  <c r="B58" i="27" s="1"/>
  <c r="D59" i="27" l="1"/>
  <c r="B59" i="27" s="1"/>
  <c r="D60" i="27" l="1"/>
  <c r="B60" i="27" s="1"/>
  <c r="D61" i="27" l="1"/>
  <c r="B61" i="27" s="1"/>
  <c r="D62" i="27" l="1"/>
  <c r="B62" i="27" s="1"/>
  <c r="D63" i="27" l="1"/>
  <c r="B63" i="27" s="1"/>
  <c r="D64" i="27" l="1"/>
  <c r="B64" i="27" s="1"/>
  <c r="D65" i="27" l="1"/>
  <c r="B65" i="27" s="1"/>
  <c r="D66" i="27" l="1"/>
  <c r="B66" i="27" s="1"/>
  <c r="D67" i="27" l="1"/>
  <c r="B67" i="27" s="1"/>
  <c r="D68" i="27" l="1"/>
  <c r="B68" i="27" s="1"/>
  <c r="D69" i="27" l="1"/>
  <c r="B69" i="27" s="1"/>
  <c r="D70" i="27" l="1"/>
  <c r="B70" i="27" s="1"/>
  <c r="D71" i="27" l="1"/>
  <c r="B71" i="27" s="1"/>
  <c r="D72" i="27" l="1"/>
  <c r="B72" i="27" s="1"/>
  <c r="D73" i="27" l="1"/>
  <c r="B73" i="27" s="1"/>
  <c r="D74" i="27" l="1"/>
  <c r="B74" i="27" s="1"/>
  <c r="D75" i="27" l="1"/>
  <c r="B75" i="27" s="1"/>
  <c r="D76" i="27" l="1"/>
  <c r="B76" i="27" s="1"/>
  <c r="D77" i="27" l="1"/>
  <c r="B77" i="27" s="1"/>
  <c r="D78" i="27" l="1"/>
  <c r="B78" i="27" s="1"/>
  <c r="D79" i="27" l="1"/>
  <c r="B79" i="27" s="1"/>
  <c r="D80" i="27" l="1"/>
  <c r="B80" i="27" s="1"/>
  <c r="D81" i="27" l="1"/>
  <c r="B81" i="27" s="1"/>
  <c r="D82" i="27" l="1"/>
  <c r="B82" i="27" s="1"/>
  <c r="D83" i="27" l="1"/>
  <c r="B83" i="27" s="1"/>
  <c r="D84" i="27" l="1"/>
  <c r="B84" i="27" s="1"/>
  <c r="D85" i="27" l="1"/>
  <c r="B85" i="27" s="1"/>
  <c r="D86" i="27" l="1"/>
  <c r="B86" i="27" s="1"/>
  <c r="D87" i="27" l="1"/>
  <c r="B87" i="27" s="1"/>
  <c r="D88" i="27" l="1"/>
  <c r="B88" i="27" s="1"/>
  <c r="D89" i="27" l="1"/>
  <c r="B89" i="27" s="1"/>
  <c r="D90" i="27" l="1"/>
  <c r="B90" i="27" s="1"/>
  <c r="D91" i="27" l="1"/>
  <c r="B91" i="27" s="1"/>
  <c r="D92" i="27" l="1"/>
  <c r="B92" i="27" s="1"/>
  <c r="D93" i="27" l="1"/>
  <c r="B93" i="27" s="1"/>
  <c r="D94" i="27" l="1"/>
  <c r="B94" i="27" s="1"/>
  <c r="D95" i="27" l="1"/>
  <c r="B95" i="27" s="1"/>
  <c r="D96" i="27" l="1"/>
  <c r="B96" i="27" s="1"/>
  <c r="D97" i="27" l="1"/>
  <c r="B97" i="27" s="1"/>
  <c r="D98" i="27" l="1"/>
  <c r="B98" i="27" s="1"/>
  <c r="D99" i="27" l="1"/>
  <c r="B99" i="27" s="1"/>
  <c r="D100" i="27" l="1"/>
  <c r="B100" i="27" s="1"/>
  <c r="D101" i="27" l="1"/>
  <c r="B101" i="27" s="1"/>
  <c r="D102" i="27" l="1"/>
  <c r="B102" i="27" s="1"/>
  <c r="D103" i="27" l="1"/>
  <c r="B103" i="27" s="1"/>
  <c r="D104" i="27" l="1"/>
  <c r="B104" i="27" s="1"/>
  <c r="D105" i="27" l="1"/>
  <c r="B105" i="27" s="1"/>
  <c r="D106" i="27" l="1"/>
  <c r="B106" i="27" s="1"/>
  <c r="D107" i="27" l="1"/>
  <c r="B107" i="27" s="1"/>
  <c r="D108" i="27" l="1"/>
  <c r="B108" i="27" s="1"/>
  <c r="D109" i="27" l="1"/>
  <c r="B109" i="27" s="1"/>
  <c r="D110" i="27" l="1"/>
  <c r="B110" i="27" s="1"/>
  <c r="D111" i="27" l="1"/>
  <c r="B111" i="27" s="1"/>
  <c r="D112" i="27" l="1"/>
  <c r="B112" i="27" s="1"/>
  <c r="D113" i="27" l="1"/>
  <c r="B113" i="27" s="1"/>
  <c r="D114" i="27" l="1"/>
  <c r="B114" i="27" s="1"/>
  <c r="D115" i="27" l="1"/>
  <c r="B115" i="27" s="1"/>
  <c r="D116" i="27" l="1"/>
  <c r="B116" i="27" s="1"/>
  <c r="D117" i="27" l="1"/>
  <c r="B117" i="27" s="1"/>
  <c r="D118" i="27" l="1"/>
  <c r="B118" i="27" s="1"/>
  <c r="D119" i="27" l="1"/>
  <c r="B119" i="27" s="1"/>
  <c r="D120" i="27" l="1"/>
  <c r="B120" i="27" s="1"/>
  <c r="D121" i="27" l="1"/>
  <c r="B121" i="27" s="1"/>
  <c r="D122" i="27" l="1"/>
  <c r="B122" i="27" s="1"/>
  <c r="D123" i="27" l="1"/>
  <c r="B123" i="27" s="1"/>
  <c r="D124" i="27" l="1"/>
  <c r="B124" i="27" s="1"/>
  <c r="D125" i="27" l="1"/>
  <c r="B125" i="27" s="1"/>
  <c r="D126" i="27" l="1"/>
  <c r="B126" i="27" l="1"/>
  <c r="D127" i="27"/>
  <c r="F2" i="26"/>
  <c r="D128" i="27" l="1"/>
  <c r="B127" i="27"/>
  <c r="D129" i="27" l="1"/>
  <c r="B128" i="27"/>
  <c r="B129" i="27" l="1"/>
  <c r="D130" i="27"/>
  <c r="B130" i="27" l="1"/>
  <c r="D131" i="27"/>
  <c r="D132" i="27" l="1"/>
  <c r="B131" i="27"/>
  <c r="D133" i="27" l="1"/>
  <c r="B132" i="27"/>
  <c r="D134" i="27" l="1"/>
  <c r="B133" i="27"/>
  <c r="A3" i="18"/>
  <c r="D135" i="27" l="1"/>
  <c r="B134" i="27"/>
  <c r="B135" i="27" l="1"/>
  <c r="D136" i="27"/>
  <c r="D137" i="27" l="1"/>
  <c r="B136" i="27"/>
  <c r="Z26" i="18"/>
  <c r="B137" i="27" l="1"/>
  <c r="D138" i="27"/>
  <c r="B138" i="27" l="1"/>
  <c r="D139" i="27"/>
  <c r="B139" i="27" l="1"/>
  <c r="D140" i="27"/>
  <c r="B140" i="27" l="1"/>
  <c r="D141" i="27"/>
  <c r="B141" i="27" l="1"/>
  <c r="D142" i="27"/>
  <c r="D143" i="27" l="1"/>
  <c r="B142" i="27"/>
  <c r="D144" i="27" l="1"/>
  <c r="B143" i="27"/>
  <c r="B144" i="27" l="1"/>
  <c r="D145" i="27"/>
  <c r="D146" i="27" l="1"/>
  <c r="B145" i="27"/>
  <c r="B146" i="27" l="1"/>
  <c r="D147" i="27"/>
  <c r="B147" i="27" l="1"/>
  <c r="D148" i="27"/>
  <c r="B148" i="27" l="1"/>
  <c r="D149" i="27"/>
  <c r="B149" i="27" l="1"/>
  <c r="D150" i="27"/>
  <c r="B150" i="27" l="1"/>
  <c r="D151" i="27"/>
  <c r="B151" i="27" l="1"/>
  <c r="D152" i="27"/>
  <c r="B152" i="27" l="1"/>
  <c r="D153" i="27"/>
  <c r="D154" i="27" l="1"/>
  <c r="B153" i="27"/>
  <c r="B154" i="27" l="1"/>
  <c r="D155" i="27"/>
  <c r="B155" i="27" l="1"/>
  <c r="D156" i="27"/>
  <c r="B156" i="27" l="1"/>
  <c r="D157" i="27"/>
  <c r="B157" i="27" l="1"/>
  <c r="D158" i="27"/>
  <c r="B158" i="27" l="1"/>
  <c r="D159" i="27"/>
  <c r="B159" i="27" l="1"/>
  <c r="D160" i="27"/>
  <c r="B160" i="27" l="1"/>
  <c r="D161" i="27"/>
  <c r="B161" i="27" l="1"/>
  <c r="D162" i="27"/>
  <c r="B162" i="27" l="1"/>
  <c r="D163" i="27"/>
  <c r="D164" i="27" l="1"/>
  <c r="B163" i="27"/>
  <c r="B164" i="27" l="1"/>
  <c r="D165" i="27"/>
  <c r="B165" i="27" l="1"/>
  <c r="D166" i="27"/>
  <c r="B166" i="27" l="1"/>
  <c r="D167" i="27"/>
  <c r="B167" i="27" l="1"/>
  <c r="D168" i="27"/>
  <c r="B168" i="27" l="1"/>
  <c r="D169" i="27"/>
  <c r="B169" i="27" l="1"/>
  <c r="D170" i="27"/>
  <c r="B170" i="27" l="1"/>
  <c r="D171" i="27"/>
  <c r="B171" i="27" l="1"/>
  <c r="D172" i="27"/>
  <c r="B172" i="27" l="1"/>
  <c r="D173" i="27"/>
  <c r="B173" i="27" l="1"/>
  <c r="D174" i="27"/>
  <c r="D175" i="27" l="1"/>
  <c r="B174" i="27"/>
  <c r="D176" i="27" l="1"/>
  <c r="B175" i="27"/>
  <c r="B176" i="27" l="1"/>
  <c r="D177" i="27"/>
  <c r="B177" i="27" l="1"/>
  <c r="D178" i="27"/>
  <c r="B178" i="27" l="1"/>
  <c r="D179" i="27"/>
  <c r="D180" i="27" l="1"/>
  <c r="B179" i="27"/>
  <c r="B180" i="27" l="1"/>
  <c r="D181" i="27"/>
  <c r="B181" i="27" l="1"/>
  <c r="D182" i="27"/>
  <c r="D183" i="27" l="1"/>
  <c r="B182" i="27"/>
  <c r="B183" i="27" l="1"/>
  <c r="D184" i="27"/>
  <c r="B184" i="27" l="1"/>
  <c r="D185" i="27"/>
  <c r="B185" i="27" l="1"/>
  <c r="D186" i="27"/>
  <c r="B186" i="27" l="1"/>
  <c r="D187" i="27"/>
  <c r="D188" i="27" l="1"/>
  <c r="B187" i="27"/>
  <c r="B188" i="27" l="1"/>
  <c r="D189" i="27"/>
  <c r="B189" i="27" l="1"/>
  <c r="D190" i="27"/>
  <c r="D191" i="27" l="1"/>
  <c r="B190" i="27"/>
  <c r="D192" i="27" l="1"/>
  <c r="B191" i="27"/>
  <c r="B192" i="27" l="1"/>
  <c r="D193" i="27"/>
  <c r="B193" i="27" l="1"/>
  <c r="D194" i="27"/>
  <c r="B194" i="27" l="1"/>
  <c r="D195" i="27"/>
  <c r="D196" i="27" l="1"/>
  <c r="B195" i="27"/>
  <c r="B196" i="27" l="1"/>
  <c r="D197" i="27"/>
  <c r="B197" i="27" l="1"/>
  <c r="D198" i="27"/>
  <c r="D199" i="27" l="1"/>
  <c r="B198" i="27"/>
  <c r="D200" i="27" l="1"/>
  <c r="B199" i="27"/>
  <c r="B200" i="27" l="1"/>
  <c r="D201" i="27"/>
  <c r="B201" i="27" l="1"/>
  <c r="D202" i="27"/>
  <c r="B202" i="27" l="1"/>
  <c r="D203" i="27"/>
  <c r="D204" i="27" l="1"/>
  <c r="B203" i="27"/>
  <c r="B204" i="27" l="1"/>
  <c r="D205" i="27"/>
  <c r="B205" i="27" l="1"/>
  <c r="D206" i="27"/>
  <c r="D207" i="27" l="1"/>
  <c r="B206" i="27"/>
  <c r="D208" i="27" l="1"/>
  <c r="B207" i="27"/>
  <c r="B208" i="27" l="1"/>
  <c r="D209" i="27"/>
  <c r="B209" i="27" l="1"/>
  <c r="D210" i="27"/>
  <c r="B210" i="27" l="1"/>
  <c r="D211" i="27"/>
  <c r="D212" i="27" l="1"/>
  <c r="B211" i="27"/>
  <c r="B212" i="27" l="1"/>
  <c r="D213" i="27"/>
  <c r="B213" i="27" l="1"/>
  <c r="D214" i="27"/>
  <c r="B214" i="27" l="1"/>
  <c r="D215" i="27"/>
  <c r="D216" i="27" l="1"/>
  <c r="B215" i="27"/>
  <c r="B216" i="27" l="1"/>
  <c r="D217" i="27"/>
  <c r="B217" i="27" l="1"/>
  <c r="D218" i="27"/>
  <c r="B218" i="27" l="1"/>
  <c r="D219" i="27"/>
  <c r="B219" i="27" l="1"/>
  <c r="D220" i="27"/>
  <c r="B220" i="27" l="1"/>
  <c r="D221" i="27"/>
  <c r="B221" i="27" l="1"/>
  <c r="D222" i="27"/>
  <c r="B222" i="27" l="1"/>
  <c r="D223" i="27"/>
  <c r="B223" i="27" l="1"/>
  <c r="D224" i="27"/>
  <c r="D225" i="27" l="1"/>
  <c r="B224" i="27"/>
  <c r="D226" i="27" l="1"/>
  <c r="B225" i="27"/>
  <c r="B226" i="27" l="1"/>
  <c r="D227" i="27"/>
  <c r="B227" i="27" l="1"/>
  <c r="D228" i="27"/>
  <c r="D229" i="27" l="1"/>
  <c r="B228" i="27"/>
  <c r="B229" i="27" l="1"/>
  <c r="D230" i="27"/>
  <c r="B230" i="27" l="1"/>
  <c r="D231" i="27"/>
  <c r="B231" i="27" l="1"/>
  <c r="D232" i="27"/>
  <c r="B232" i="27" l="1"/>
  <c r="D233" i="27"/>
  <c r="B233" i="27" l="1"/>
  <c r="D234" i="27"/>
  <c r="B234" i="27" l="1"/>
  <c r="D235" i="27"/>
  <c r="B235" i="27" l="1"/>
  <c r="D236" i="27"/>
  <c r="B236" i="27" l="1"/>
  <c r="D237" i="27"/>
  <c r="D238" i="27" l="1"/>
  <c r="B237" i="27"/>
  <c r="B238" i="27" l="1"/>
  <c r="D239" i="27"/>
  <c r="B239" i="27" l="1"/>
  <c r="D240" i="27"/>
  <c r="B240" i="2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F0082E-0489-4F38-B4FE-74AEE1FC2D3D}" keepAlive="1" name="Query - L_kobo" description="Connection to the 'L_kobo' query in the workbook." type="5" refreshedVersion="8" background="1" saveData="1">
    <dbPr connection="Provider=Microsoft.Mashup.OleDb.1;Data Source=$Workbook$;Location=L_kobo;Extended Properties=&quot;&quot;" command="SELECT * FROM [L_kobo]"/>
  </connection>
  <connection id="2" xr16:uid="{EA9808E8-F249-4B35-B468-9E25525E8234}" keepAlive="1" name="Query - MS_Data_TBL" description="Connection to the 'MS_Data_TBL' query in the workbook." type="5" refreshedVersion="8" background="1" saveData="1">
    <dbPr connection="Provider=Microsoft.Mashup.OleDb.1;Data Source=$Workbook$;Location=MS_Data_TBL;Extended Properties=&quot;&quot;" command="SELECT * FROM [MS_Data_TBL]"/>
  </connection>
</connections>
</file>

<file path=xl/sharedStrings.xml><?xml version="1.0" encoding="utf-8"?>
<sst xmlns="http://schemas.openxmlformats.org/spreadsheetml/2006/main" count="430" uniqueCount="273">
  <si>
    <t>Name</t>
  </si>
  <si>
    <t>AHMED EL HASSAN</t>
  </si>
  <si>
    <t>Position</t>
  </si>
  <si>
    <t>HR code</t>
  </si>
  <si>
    <t>First Name</t>
  </si>
  <si>
    <t>Family Name</t>
  </si>
  <si>
    <t>Father Name</t>
  </si>
  <si>
    <t>PLACE OF BIRTH</t>
  </si>
  <si>
    <t>Nationality</t>
  </si>
  <si>
    <t>Phone Number</t>
  </si>
  <si>
    <t>Address</t>
  </si>
  <si>
    <t>Father Name
Arabic</t>
  </si>
  <si>
    <t>Place of birth arabic</t>
  </si>
  <si>
    <t>Nationality Arabic</t>
  </si>
  <si>
    <t>Nationality Turkish</t>
  </si>
  <si>
    <t>Email Address</t>
  </si>
  <si>
    <t>Location</t>
  </si>
  <si>
    <t>Working Hours</t>
  </si>
  <si>
    <t>Start Time</t>
  </si>
  <si>
    <t>Finish Time</t>
  </si>
  <si>
    <t>Position Cat&amp;L</t>
  </si>
  <si>
    <t>Category</t>
  </si>
  <si>
    <t>Level</t>
  </si>
  <si>
    <t>F</t>
  </si>
  <si>
    <t>ALDANA</t>
  </si>
  <si>
    <t>ID</t>
  </si>
  <si>
    <t>محمد</t>
  </si>
  <si>
    <t>الدانا</t>
  </si>
  <si>
    <t>M</t>
  </si>
  <si>
    <t>QAH</t>
  </si>
  <si>
    <t>KAFARSEJNA</t>
  </si>
  <si>
    <t>كفرسجنة</t>
  </si>
  <si>
    <t>سوري</t>
  </si>
  <si>
    <t>فاطمة</t>
  </si>
  <si>
    <t>مخيم قاح</t>
  </si>
  <si>
    <t>احمد</t>
  </si>
  <si>
    <t>حسن</t>
  </si>
  <si>
    <t>KAFR NABUDAH</t>
  </si>
  <si>
    <t>كفرنبوده</t>
  </si>
  <si>
    <t>يوسف</t>
  </si>
  <si>
    <t>علي</t>
  </si>
  <si>
    <t>HAS</t>
  </si>
  <si>
    <t>محمود</t>
  </si>
  <si>
    <t>حاس</t>
  </si>
  <si>
    <t>KOUREEN</t>
  </si>
  <si>
    <t>كورين</t>
  </si>
  <si>
    <t>حلب</t>
  </si>
  <si>
    <t>DAMASCUS</t>
  </si>
  <si>
    <t>دمشق</t>
  </si>
  <si>
    <t>HAMA</t>
  </si>
  <si>
    <t>حماة</t>
  </si>
  <si>
    <t>عمر</t>
  </si>
  <si>
    <t>مضايا</t>
  </si>
  <si>
    <t>خالد</t>
  </si>
  <si>
    <t>صالح</t>
  </si>
  <si>
    <t>قاح</t>
  </si>
  <si>
    <t>الجمعة</t>
  </si>
  <si>
    <t>ابراهيم</t>
  </si>
  <si>
    <t>سارة</t>
  </si>
  <si>
    <t>ALEPPO</t>
  </si>
  <si>
    <t>KELLY</t>
  </si>
  <si>
    <t>Month</t>
  </si>
  <si>
    <t>C5L1</t>
  </si>
  <si>
    <t>C1L1</t>
  </si>
  <si>
    <t>C5L4</t>
  </si>
  <si>
    <t>سلمى</t>
  </si>
  <si>
    <t>X</t>
  </si>
  <si>
    <t>REGISTRAR</t>
  </si>
  <si>
    <t>CLEANER</t>
  </si>
  <si>
    <t>WATCHMAN</t>
  </si>
  <si>
    <t>NURSE</t>
  </si>
  <si>
    <t>ADMINISTRATIVE ASSISTANT</t>
  </si>
  <si>
    <t>QAH CAMP</t>
  </si>
  <si>
    <t>ATMEH, ALRESALA CAMP</t>
  </si>
  <si>
    <t>SARMADA</t>
  </si>
  <si>
    <t>MADAIA</t>
  </si>
  <si>
    <t>SYRIAN</t>
  </si>
  <si>
    <t>SURIYELI</t>
  </si>
  <si>
    <t>WAREHOUSE</t>
  </si>
  <si>
    <t>Code</t>
  </si>
  <si>
    <t>Status</t>
  </si>
  <si>
    <t>*</t>
  </si>
  <si>
    <t>كانون الأول</t>
  </si>
  <si>
    <t>December</t>
  </si>
  <si>
    <t>تشرين الثاني</t>
  </si>
  <si>
    <t>November</t>
  </si>
  <si>
    <t>تشرين الأول</t>
  </si>
  <si>
    <t>October</t>
  </si>
  <si>
    <t>أيلول</t>
  </si>
  <si>
    <t>September</t>
  </si>
  <si>
    <t>آب</t>
  </si>
  <si>
    <t>August</t>
  </si>
  <si>
    <t>Friday</t>
  </si>
  <si>
    <t>تموز</t>
  </si>
  <si>
    <t>July</t>
  </si>
  <si>
    <t>الخميس</t>
  </si>
  <si>
    <t>Thursday</t>
  </si>
  <si>
    <t>حزيران</t>
  </si>
  <si>
    <t>June</t>
  </si>
  <si>
    <t>الأربعاء</t>
  </si>
  <si>
    <t>Wednesday</t>
  </si>
  <si>
    <t>أيار</t>
  </si>
  <si>
    <t>May</t>
  </si>
  <si>
    <t>الثلاثاء</t>
  </si>
  <si>
    <t>Tuesday</t>
  </si>
  <si>
    <t>نيسان</t>
  </si>
  <si>
    <t>April</t>
  </si>
  <si>
    <t>الإثنين</t>
  </si>
  <si>
    <t>Monday</t>
  </si>
  <si>
    <t>آذار</t>
  </si>
  <si>
    <t>March</t>
  </si>
  <si>
    <t>الأحد</t>
  </si>
  <si>
    <t>Sunday</t>
  </si>
  <si>
    <t>شباط</t>
  </si>
  <si>
    <t>February</t>
  </si>
  <si>
    <t>السبت</t>
  </si>
  <si>
    <t>Saturday</t>
  </si>
  <si>
    <t>كانون الثاني</t>
  </si>
  <si>
    <t>January</t>
  </si>
  <si>
    <t>اليوم</t>
  </si>
  <si>
    <t>Day</t>
  </si>
  <si>
    <t>الشهر</t>
  </si>
  <si>
    <t>#</t>
  </si>
  <si>
    <t>mohmedremi585@gmail.com</t>
  </si>
  <si>
    <t>anwrdbes80@gmail.com</t>
  </si>
  <si>
    <t>anasabuzaid87@gmail.com</t>
  </si>
  <si>
    <t>Samergonemy84@gmail.com</t>
  </si>
  <si>
    <t>maisaaabboud1@gmail.com</t>
  </si>
  <si>
    <t>maha85.d85@gmail.com</t>
  </si>
  <si>
    <t>aswadalshiekh87@gmail.com</t>
  </si>
  <si>
    <t>عائشة</t>
  </si>
  <si>
    <t>Address arabic</t>
  </si>
  <si>
    <t>ID Num</t>
  </si>
  <si>
    <t>ID Type</t>
  </si>
  <si>
    <t>Folder Path</t>
  </si>
  <si>
    <t>Old Name</t>
  </si>
  <si>
    <t>Extension</t>
  </si>
  <si>
    <t>New Name</t>
  </si>
  <si>
    <t>YEAR</t>
  </si>
  <si>
    <t>MONTH</t>
  </si>
  <si>
    <t>File Name</t>
  </si>
  <si>
    <t>Copy</t>
  </si>
  <si>
    <t>Month_Num</t>
  </si>
  <si>
    <t>Source</t>
  </si>
  <si>
    <t>Destination</t>
  </si>
  <si>
    <t>Source Path</t>
  </si>
  <si>
    <t>Destination Path</t>
  </si>
  <si>
    <t>Extend</t>
  </si>
  <si>
    <t>Date</t>
  </si>
  <si>
    <t>Year_Num</t>
  </si>
  <si>
    <t>Ahmed El-Hassan</t>
  </si>
  <si>
    <t>Num</t>
  </si>
  <si>
    <t>AL_DOAA</t>
  </si>
  <si>
    <t>AL_SALAM</t>
  </si>
  <si>
    <t>A</t>
  </si>
  <si>
    <t>http://wa.me/905353215671</t>
  </si>
  <si>
    <t>http://wa.me/352681121845</t>
  </si>
  <si>
    <t>http://wa.me/905344140761</t>
  </si>
  <si>
    <t>http://wa.me/352681131474</t>
  </si>
  <si>
    <t>http://wa.me/963950071219</t>
  </si>
  <si>
    <t>http://wa.me/905366104548</t>
  </si>
  <si>
    <t>http://wa.me/352681121821</t>
  </si>
  <si>
    <t>http://wa.me/352681130120</t>
  </si>
  <si>
    <t>IBAN _TL</t>
  </si>
  <si>
    <t>mahmodhgsulman@gmail.com</t>
  </si>
  <si>
    <t>http://wa.me/447723477780</t>
  </si>
  <si>
    <t>Gender
(M/F)</t>
  </si>
  <si>
    <t>https://t.me/Ahmedmayaelhassan</t>
  </si>
  <si>
    <t>="SYR"&amp;IF(LEN([@[Old Name]])=1,"00"&amp;[@[Old Name]],IF(LEN([@[Old Name]])=2,"0"&amp;[@[Old Name]],IF(LEN([@[Old Name]])=3,[@[Old Name]],"#Value")))</t>
  </si>
  <si>
    <t>.pdf</t>
  </si>
  <si>
    <t>jmyltalsyd059@gmail.com</t>
  </si>
  <si>
    <t>najdat.hajaboubaker@gmail.com</t>
  </si>
  <si>
    <t>ahmed.elhassan@ahha985.onmicrosoft.com</t>
  </si>
  <si>
    <t>C1L4</t>
  </si>
  <si>
    <t>C3L4</t>
  </si>
  <si>
    <t>HR AND ADMIN OFFICER</t>
  </si>
  <si>
    <t>http://wa.me/905363366558</t>
  </si>
  <si>
    <t>http://wa.me/905369200792</t>
  </si>
  <si>
    <t>IDLIB_OFFICE</t>
  </si>
  <si>
    <t>عبدالله</t>
  </si>
  <si>
    <t>ناصر</t>
  </si>
  <si>
    <t>Important</t>
  </si>
  <si>
    <t>FIRST NAME
ARABIC</t>
  </si>
  <si>
    <t>Family
ARABIC</t>
  </si>
  <si>
    <t>=[@Code] &amp;" _ "&amp;VLOOKUP([@Code],MS_Data_TBL,3,FALSE)&amp; IF([@YEAR]&lt;&gt;""," _ "&amp; [@YEAR],"") &amp; IF([@MONTH]&lt;&gt;""," _ " &amp; [@MONTH],"") &amp; IF([@[File Name]]&lt;&gt;""," _ " &amp;[@[File Name]],"") &amp; IF([@Position]&lt;&gt;""," _ " &amp;[@Position],"") &amp; IF([@Copy]&lt;&gt;""," _ " &amp;[@Copy],"")</t>
  </si>
  <si>
    <t>=VLOOKUP([@Code],AA:AD,3,FALSE)&amp;" _ "&amp;[@Code] &amp;" _ "&amp;VLOOKUP([@Code],MS_Data_TBL,3,FALSE)&amp; IF([@YEAR]&lt;&gt;""," _ "&amp; [@YEAR],"") &amp; IF([@MONTH]&lt;&gt;""," _ " &amp; [@MONTH],"") &amp; IF([@[File Name]]&lt;&gt;""," _ " &amp;[@[File Name]],"") &amp; IF([@Position]&lt;&gt;""," _ " &amp;[@Position],"") &amp; IF([@Copy]&lt;&gt;""," _ " &amp;[@Copy],"")</t>
  </si>
  <si>
    <t>أطمة / مخيم الرسالة</t>
  </si>
  <si>
    <t>QAH/ ALREAYA CAMP</t>
  </si>
  <si>
    <t>قاح/ دار الرعاية</t>
  </si>
  <si>
    <t>QAH/ DAR ALAYTAM COMP</t>
  </si>
  <si>
    <t>Count "A"</t>
  </si>
  <si>
    <t>MO7RAR</t>
  </si>
  <si>
    <t>+352 681 130 120</t>
  </si>
  <si>
    <t>ABC100</t>
  </si>
  <si>
    <t>ABC004</t>
  </si>
  <si>
    <t>Ahmed</t>
  </si>
  <si>
    <t>Ali</t>
  </si>
  <si>
    <t>Hassan</t>
  </si>
  <si>
    <t>TR 7900 8070 0900 1170 4761</t>
  </si>
  <si>
    <t>ABC015</t>
  </si>
  <si>
    <t>Fatima</t>
  </si>
  <si>
    <t>Mohammed</t>
  </si>
  <si>
    <t>Mahmoud</t>
  </si>
  <si>
    <t>TR 7900 8070 0900 1170 4762</t>
  </si>
  <si>
    <t>ABC029</t>
  </si>
  <si>
    <t>Omar</t>
  </si>
  <si>
    <t>Abdullah</t>
  </si>
  <si>
    <t>Ibrahim</t>
  </si>
  <si>
    <t>TR 7900 8070 0900 1170 4763</t>
  </si>
  <si>
    <t>ABC035</t>
  </si>
  <si>
    <t>Aisha</t>
  </si>
  <si>
    <t>Khalid</t>
  </si>
  <si>
    <t>TR 7900 8070 0900 1170 4764</t>
  </si>
  <si>
    <t>ABC050</t>
  </si>
  <si>
    <t>Youssef</t>
  </si>
  <si>
    <t>Saleh</t>
  </si>
  <si>
    <t>TR 7900 8070 0900 1170 4765</t>
  </si>
  <si>
    <t>ABC055</t>
  </si>
  <si>
    <t>Noura</t>
  </si>
  <si>
    <t>نورا</t>
  </si>
  <si>
    <t>TR 7900 8070 0900 1170 4766</t>
  </si>
  <si>
    <t>ABC058</t>
  </si>
  <si>
    <t>TR 7900 8070 0900 1170 4767</t>
  </si>
  <si>
    <t>ABC059</t>
  </si>
  <si>
    <t>Salma</t>
  </si>
  <si>
    <t>TR 7900 8070 0900 1170 4768</t>
  </si>
  <si>
    <t>ABC073</t>
  </si>
  <si>
    <t>TR 7900 8070 0900 1170 4769</t>
  </si>
  <si>
    <t>ABC076</t>
  </si>
  <si>
    <t>Sarah</t>
  </si>
  <si>
    <t>Nasser</t>
  </si>
  <si>
    <t>TR 7900 8070 0900 1170 4770</t>
  </si>
  <si>
    <t>C:\Users\ahmed\OneDrive - ahha985\MO7RAR\Mo7rar Staff\Scamer</t>
  </si>
  <si>
    <t>C:\Users\ahmed\OneDrive - ahha985\MO7RAR\Mo7rar Staff\</t>
  </si>
  <si>
    <t>Employee Folder Name</t>
  </si>
  <si>
    <t>ABC004 _ AHMED ALI _ 2023 _ 05 _ AS _ REGISTRAR</t>
  </si>
  <si>
    <t>ABC015 _ FATIMA MOHAMMED _ 2023 _ 05 _ AS _ CLEANER</t>
  </si>
  <si>
    <t>ABC029 _ OMAR ABDULLAH _ 2023 _ 05 _ AS _ NURSE</t>
  </si>
  <si>
    <t>ABC035 _ AISHA AHMED _ 2023 _ 05 _ AS _ NURSE</t>
  </si>
  <si>
    <t>ABC050 _ YOUSSEF MAHMOUD _ 2023 _ 05 _ AS _ NURSE</t>
  </si>
  <si>
    <t>ABC055 _ NOURA ABDULLAH _ 2023 _ 05 _ AS _ REGISTRAR</t>
  </si>
  <si>
    <t>ABC058 _ HASSAN ALI _ 2023 _ 05 _ AS _ REGISTRAR</t>
  </si>
  <si>
    <t>ABC099</t>
  </si>
  <si>
    <t>El Hassan</t>
  </si>
  <si>
    <t>Mohamed</t>
  </si>
  <si>
    <t>أحمد</t>
  </si>
  <si>
    <t>الحسن</t>
  </si>
  <si>
    <t>Dana</t>
  </si>
  <si>
    <t>TR 7900 8070 0900 1170 4771</t>
  </si>
  <si>
    <t xml:space="preserve">Mohammed </t>
  </si>
  <si>
    <t>EL ALLU</t>
  </si>
  <si>
    <t>علو</t>
  </si>
  <si>
    <t>TR 7900 8070 0900 1170 4772</t>
  </si>
  <si>
    <t>AHMED ALI</t>
  </si>
  <si>
    <t>FATIMA MOHAMMED</t>
  </si>
  <si>
    <t>OMAR ABDULLAH</t>
  </si>
  <si>
    <t>AISHA AHMED</t>
  </si>
  <si>
    <t>YOUSSEF MAHMOUD</t>
  </si>
  <si>
    <t>NOURA ABDULLAH</t>
  </si>
  <si>
    <t>HASSAN ALI</t>
  </si>
  <si>
    <t>SALMA OMAR</t>
  </si>
  <si>
    <t>SARAH ABDULLAH</t>
  </si>
  <si>
    <t>MOHAMMED EL ALLU</t>
  </si>
  <si>
    <t>KHALID MOHAMMED</t>
  </si>
  <si>
    <t>Basic Salary</t>
  </si>
  <si>
    <t>BIRTH DATE</t>
  </si>
  <si>
    <t>Date of entry</t>
  </si>
  <si>
    <t>Date of beginning of probation contract</t>
  </si>
  <si>
    <t>End of Probation Period</t>
  </si>
  <si>
    <t>Beginning of Contract</t>
  </si>
  <si>
    <t>End of Contract date</t>
  </si>
  <si>
    <t>VBA Code _ مفتوح وقابل للتعديل</t>
  </si>
  <si>
    <t>لا تنسونا من دعوة صالحة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</si>
</sst>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_€_-;\-* #,##0.00\ _€_-;_-* &quot;-&quot;??\ _€_-;_-@_-"/>
    <numFmt numFmtId="165" formatCode="_-* #,##0.00\ _F_B_-;\-* #,##0.00\ _F_B_-;_-* &quot;-&quot;??\ _F_B_-;_-@_-"/>
    <numFmt numFmtId="166" formatCode="_-* #,##0.00\ &quot;€&quot;_-;\-* #,##0.00\ &quot;€&quot;_-;_-* &quot;-&quot;??\ &quot;€&quot;_-;_-@_-"/>
    <numFmt numFmtId="167" formatCode="_-* #,##0.00\ [$€-1]_-;\-* #,##0.00\ [$€-1]_-;_-* &quot;-&quot;??\ [$€-1]_-"/>
    <numFmt numFmtId="168" formatCode="[$-40C]d\-mmm\-yy;@"/>
    <numFmt numFmtId="169" formatCode="_-* #,##0.00\ _F_-;\-* #,##0.00\ _F_-;_-* &quot;-&quot;??\ _F_-;_-@_-"/>
    <numFmt numFmtId="170" formatCode="_-* #,##0_-;\-* #,##0_-;_-* &quot;-&quot;??_-;_-@_-"/>
    <numFmt numFmtId="171" formatCode="#.##0\.00"/>
    <numFmt numFmtId="172" formatCode="#\.00"/>
    <numFmt numFmtId="173" formatCode="\$#\.00"/>
    <numFmt numFmtId="174" formatCode="[$-F800]dddd\,\ mmmm\ dd\,\ yyyy"/>
    <numFmt numFmtId="175" formatCode="_-* #,##0.00_-;\-* #,##0.00_-;_-* &quot;-&quot;??_-;_-@_-"/>
    <numFmt numFmtId="177" formatCode="[$-409]h:mm:ss\ AM/PM"/>
    <numFmt numFmtId="178" formatCode="_(&quot;$&quot;* #,##0_);_(&quot;$&quot;* \(#,##0\);_(&quot;$&quot;* &quot;-&quot;??_);_(@_)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62"/>
    </font>
    <font>
      <sz val="11"/>
      <color indexed="8"/>
      <name val="Calibri"/>
      <family val="2"/>
    </font>
    <font>
      <b/>
      <sz val="14"/>
      <color rgb="FFFF0000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8"/>
      <name val="Arial"/>
      <family val="2"/>
      <charset val="178"/>
    </font>
    <font>
      <sz val="11"/>
      <name val="Calibri"/>
      <family val="2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5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0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8"/>
      <color theme="7"/>
      <name val="Calibri"/>
      <family val="2"/>
      <scheme val="minor"/>
    </font>
    <font>
      <sz val="10"/>
      <name val="Arial"/>
      <family val="2"/>
    </font>
    <font>
      <b/>
      <sz val="72"/>
      <color rgb="FFFF0000"/>
      <name val="Algerian"/>
      <family val="5"/>
    </font>
    <font>
      <sz val="11"/>
      <color theme="4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45D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FDA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532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  <xf numFmtId="165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0" fontId="13" fillId="0" borderId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8" fillId="0" borderId="0" applyNumberFormat="0" applyFill="0" applyBorder="0" applyAlignment="0" applyProtection="0"/>
    <xf numFmtId="0" fontId="15" fillId="22" borderId="9" applyNumberFormat="0" applyAlignment="0" applyProtection="0"/>
    <xf numFmtId="0" fontId="17" fillId="0" borderId="10" applyNumberFormat="0" applyFill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0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" fillId="23" borderId="11" applyNumberFormat="0" applyFont="0" applyAlignment="0" applyProtection="0"/>
    <xf numFmtId="0" fontId="19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6" fillId="13" borderId="9" applyNumberFormat="0" applyAlignment="0" applyProtection="0"/>
    <xf numFmtId="167" fontId="6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21" fillId="0" borderId="0"/>
    <xf numFmtId="171" fontId="19" fillId="0" borderId="0">
      <protection locked="0"/>
    </xf>
    <xf numFmtId="172" fontId="19" fillId="0" borderId="0"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164" fontId="5" fillId="0" borderId="0" applyFont="0" applyFill="0" applyBorder="0" applyAlignment="0" applyProtection="0"/>
    <xf numFmtId="173" fontId="19" fillId="0" borderId="0">
      <protection locked="0"/>
    </xf>
    <xf numFmtId="166" fontId="7" fillId="0" borderId="0" applyFont="0" applyFill="0" applyBorder="0" applyAlignment="0" applyProtection="0"/>
    <xf numFmtId="0" fontId="6" fillId="0" borderId="0"/>
    <xf numFmtId="0" fontId="5" fillId="0" borderId="0"/>
    <xf numFmtId="168" fontId="5" fillId="0" borderId="0"/>
    <xf numFmtId="0" fontId="6" fillId="0" borderId="0"/>
    <xf numFmtId="0" fontId="3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" fillId="0" borderId="0"/>
    <xf numFmtId="0" fontId="11" fillId="0" borderId="0"/>
    <xf numFmtId="0" fontId="29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0" fontId="3" fillId="0" borderId="0"/>
    <xf numFmtId="0" fontId="40" fillId="0" borderId="0"/>
    <xf numFmtId="0" fontId="24" fillId="0" borderId="0"/>
    <xf numFmtId="43" fontId="24" fillId="0" borderId="0" applyFont="0" applyFill="0" applyBorder="0" applyAlignment="0" applyProtection="0"/>
    <xf numFmtId="0" fontId="41" fillId="0" borderId="0"/>
    <xf numFmtId="0" fontId="47" fillId="0" borderId="0"/>
    <xf numFmtId="0" fontId="15" fillId="22" borderId="24" applyNumberFormat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3" fillId="0" borderId="0" applyFont="0" applyFill="0" applyBorder="0" applyAlignment="0" applyProtection="0"/>
    <xf numFmtId="0" fontId="5" fillId="23" borderId="25" applyNumberFormat="0" applyFont="0" applyAlignment="0" applyProtection="0"/>
    <xf numFmtId="0" fontId="16" fillId="13" borderId="24" applyNumberFormat="0" applyAlignment="0" applyProtection="0"/>
    <xf numFmtId="164" fontId="5" fillId="0" borderId="0" applyFont="0" applyFill="0" applyBorder="0" applyAlignment="0" applyProtection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3" fillId="0" borderId="0"/>
    <xf numFmtId="0" fontId="6" fillId="0" borderId="0"/>
    <xf numFmtId="0" fontId="6" fillId="0" borderId="0"/>
    <xf numFmtId="0" fontId="3" fillId="0" borderId="0"/>
    <xf numFmtId="0" fontId="3" fillId="0" borderId="0"/>
    <xf numFmtId="9" fontId="5" fillId="0" borderId="0" applyFont="0" applyFill="0" applyBorder="0" applyAlignment="0" applyProtection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7" borderId="0" xfId="0" applyFill="1"/>
    <xf numFmtId="0" fontId="0" fillId="0" borderId="0" xfId="0" applyAlignment="1">
      <alignment horizontal="left" vertical="center"/>
    </xf>
    <xf numFmtId="0" fontId="11" fillId="0" borderId="0" xfId="65"/>
    <xf numFmtId="0" fontId="25" fillId="0" borderId="0" xfId="65" applyFont="1"/>
    <xf numFmtId="0" fontId="11" fillId="0" borderId="0" xfId="65" applyAlignment="1">
      <alignment horizontal="center" vertical="center"/>
    </xf>
    <xf numFmtId="14" fontId="26" fillId="0" borderId="0" xfId="0" applyNumberFormat="1" applyFont="1"/>
    <xf numFmtId="0" fontId="0" fillId="0" borderId="0" xfId="0" applyProtection="1">
      <protection locked="0"/>
    </xf>
    <xf numFmtId="0" fontId="0" fillId="3" borderId="0" xfId="0" applyFill="1"/>
    <xf numFmtId="0" fontId="0" fillId="6" borderId="0" xfId="0" applyFill="1"/>
    <xf numFmtId="0" fontId="2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32" fillId="0" borderId="0" xfId="0" quotePrefix="1" applyFont="1" applyAlignment="1">
      <alignment horizontal="left" vertical="center"/>
    </xf>
    <xf numFmtId="0" fontId="31" fillId="0" borderId="0" xfId="0" applyFont="1" applyProtection="1">
      <protection locked="0"/>
    </xf>
    <xf numFmtId="0" fontId="4" fillId="28" borderId="0" xfId="0" applyFont="1" applyFill="1" applyAlignment="1">
      <alignment horizontal="left" vertical="center" wrapText="1"/>
    </xf>
    <xf numFmtId="0" fontId="26" fillId="27" borderId="0" xfId="0" applyFont="1" applyFill="1" applyAlignment="1">
      <alignment horizontal="left" vertical="center"/>
    </xf>
    <xf numFmtId="0" fontId="0" fillId="5" borderId="0" xfId="0" applyFill="1" applyAlignment="1">
      <alignment horizontal="left" vertical="center" wrapText="1"/>
    </xf>
    <xf numFmtId="0" fontId="26" fillId="25" borderId="0" xfId="0" applyFont="1" applyFill="1" applyAlignment="1">
      <alignment horizontal="left" vertical="center" wrapText="1"/>
    </xf>
    <xf numFmtId="0" fontId="33" fillId="0" borderId="6" xfId="0" quotePrefix="1" applyFont="1" applyBorder="1" applyAlignment="1">
      <alignment vertical="center"/>
    </xf>
    <xf numFmtId="0" fontId="36" fillId="0" borderId="6" xfId="0" quotePrefix="1" applyFont="1" applyBorder="1" applyAlignment="1">
      <alignment vertical="top"/>
    </xf>
    <xf numFmtId="0" fontId="23" fillId="25" borderId="16" xfId="0" applyFont="1" applyFill="1" applyBorder="1" applyAlignment="1">
      <alignment horizontal="center" vertical="center"/>
    </xf>
    <xf numFmtId="0" fontId="37" fillId="24" borderId="16" xfId="0" applyFont="1" applyFill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/>
    </xf>
    <xf numFmtId="0" fontId="23" fillId="27" borderId="16" xfId="0" applyFont="1" applyFill="1" applyBorder="1" applyAlignment="1">
      <alignment horizontal="center" vertical="center"/>
    </xf>
    <xf numFmtId="0" fontId="37" fillId="7" borderId="16" xfId="0" applyFont="1" applyFill="1" applyBorder="1" applyAlignment="1">
      <alignment horizontal="center" vertical="center"/>
    </xf>
    <xf numFmtId="0" fontId="23" fillId="5" borderId="15" xfId="0" applyFont="1" applyFill="1" applyBorder="1" applyAlignment="1">
      <alignment horizontal="left" vertical="center"/>
    </xf>
    <xf numFmtId="0" fontId="23" fillId="4" borderId="8" xfId="0" applyFont="1" applyFill="1" applyBorder="1" applyAlignment="1">
      <alignment horizontal="center" vertical="center"/>
    </xf>
    <xf numFmtId="0" fontId="38" fillId="24" borderId="0" xfId="0" applyFont="1" applyFill="1" applyAlignment="1">
      <alignment horizontal="left" vertical="center" wrapText="1"/>
    </xf>
    <xf numFmtId="14" fontId="0" fillId="0" borderId="0" xfId="0" applyNumberFormat="1"/>
    <xf numFmtId="49" fontId="35" fillId="2" borderId="18" xfId="0" quotePrefix="1" applyNumberFormat="1" applyFont="1" applyFill="1" applyBorder="1" applyAlignment="1">
      <alignment horizontal="left" vertical="center"/>
    </xf>
    <xf numFmtId="0" fontId="35" fillId="2" borderId="0" xfId="0" applyFont="1" applyFill="1" applyAlignment="1" applyProtection="1">
      <alignment horizontal="left" vertical="center"/>
      <protection locked="0"/>
    </xf>
    <xf numFmtId="0" fontId="0" fillId="0" borderId="13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7" xfId="0" applyBorder="1" applyAlignment="1">
      <alignment vertical="center"/>
    </xf>
    <xf numFmtId="0" fontId="2" fillId="26" borderId="3" xfId="0" applyFont="1" applyFill="1" applyBorder="1"/>
    <xf numFmtId="0" fontId="2" fillId="26" borderId="4" xfId="0" applyFont="1" applyFill="1" applyBorder="1"/>
    <xf numFmtId="0" fontId="2" fillId="26" borderId="5" xfId="0" applyFont="1" applyFill="1" applyBorder="1"/>
    <xf numFmtId="0" fontId="0" fillId="0" borderId="12" xfId="0" applyBorder="1"/>
    <xf numFmtId="0" fontId="0" fillId="0" borderId="7" xfId="0" applyBorder="1"/>
    <xf numFmtId="0" fontId="8" fillId="0" borderId="0" xfId="0" applyFont="1" applyAlignment="1">
      <alignment horizontal="center" vertical="center"/>
    </xf>
    <xf numFmtId="0" fontId="29" fillId="0" borderId="0" xfId="66" applyAlignment="1">
      <alignment horizontal="center" vertical="center"/>
    </xf>
    <xf numFmtId="0" fontId="26" fillId="0" borderId="0" xfId="0" applyFont="1" applyAlignment="1">
      <alignment horizontal="left" vertical="center"/>
    </xf>
    <xf numFmtId="49" fontId="9" fillId="3" borderId="0" xfId="65" applyNumberFormat="1" applyFont="1" applyFill="1" applyAlignment="1">
      <alignment horizontal="center" vertical="center"/>
    </xf>
    <xf numFmtId="0" fontId="43" fillId="3" borderId="6" xfId="0" quotePrefix="1" applyFont="1" applyFill="1" applyBorder="1" applyAlignment="1" applyProtection="1">
      <alignment horizontal="center" vertical="center"/>
      <protection locked="0"/>
    </xf>
    <xf numFmtId="0" fontId="33" fillId="0" borderId="6" xfId="0" quotePrefix="1" applyFont="1" applyBorder="1" applyAlignment="1">
      <alignment horizontal="left" vertical="center"/>
    </xf>
    <xf numFmtId="0" fontId="26" fillId="0" borderId="0" xfId="0" applyFont="1"/>
    <xf numFmtId="0" fontId="44" fillId="0" borderId="0" xfId="0" quotePrefix="1" applyFont="1" applyAlignment="1">
      <alignment horizontal="center" vertical="center"/>
    </xf>
    <xf numFmtId="0" fontId="26" fillId="0" borderId="0" xfId="0" quotePrefix="1" applyFont="1" applyAlignment="1">
      <alignment horizontal="left" vertical="center"/>
    </xf>
    <xf numFmtId="0" fontId="10" fillId="6" borderId="0" xfId="0" applyFont="1" applyFill="1"/>
    <xf numFmtId="0" fontId="0" fillId="4" borderId="0" xfId="0" applyFill="1"/>
    <xf numFmtId="0" fontId="45" fillId="4" borderId="0" xfId="0" applyFont="1" applyFill="1"/>
    <xf numFmtId="22" fontId="46" fillId="4" borderId="0" xfId="0" applyNumberFormat="1" applyFont="1" applyFill="1" applyAlignment="1">
      <alignment horizontal="center" vertical="center"/>
    </xf>
    <xf numFmtId="0" fontId="29" fillId="0" borderId="0" xfId="66" applyAlignment="1">
      <alignment horizontal="center" vertical="center" wrapText="1"/>
    </xf>
    <xf numFmtId="174" fontId="39" fillId="3" borderId="0" xfId="0" applyNumberFormat="1" applyFont="1" applyFill="1" applyAlignment="1">
      <alignment horizontal="center" vertical="center" shrinkToFit="1"/>
    </xf>
    <xf numFmtId="0" fontId="23" fillId="0" borderId="6" xfId="0" applyFont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21" xfId="0" applyBorder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 vertical="center" readingOrder="1"/>
    </xf>
    <xf numFmtId="0" fontId="0" fillId="0" borderId="23" xfId="0" applyBorder="1" applyAlignment="1" applyProtection="1">
      <alignment horizontal="left" vertical="center"/>
      <protection locked="0"/>
    </xf>
    <xf numFmtId="49" fontId="0" fillId="0" borderId="19" xfId="0" applyNumberForma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 readingOrder="1"/>
    </xf>
    <xf numFmtId="0" fontId="28" fillId="0" borderId="1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49" fontId="0" fillId="29" borderId="0" xfId="0" applyNumberFormat="1" applyFill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/>
    </xf>
    <xf numFmtId="174" fontId="0" fillId="0" borderId="0" xfId="0" applyNumberFormat="1"/>
    <xf numFmtId="177" fontId="0" fillId="0" borderId="0" xfId="0" applyNumberFormat="1"/>
    <xf numFmtId="0" fontId="2" fillId="0" borderId="0" xfId="0" applyFont="1"/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42" fillId="0" borderId="0" xfId="0" quotePrefix="1" applyFont="1" applyAlignment="1">
      <alignment horizontal="center" vertical="center"/>
    </xf>
    <xf numFmtId="0" fontId="45" fillId="0" borderId="0" xfId="0" applyFont="1"/>
    <xf numFmtId="178" fontId="0" fillId="0" borderId="0" xfId="531" applyNumberFormat="1" applyFont="1" applyAlignment="1">
      <alignment horizontal="left" vertical="center"/>
    </xf>
    <xf numFmtId="0" fontId="0" fillId="5" borderId="0" xfId="0" applyFill="1"/>
    <xf numFmtId="0" fontId="29" fillId="0" borderId="0" xfId="66"/>
    <xf numFmtId="17" fontId="25" fillId="0" borderId="0" xfId="65" applyNumberFormat="1" applyFont="1" applyAlignment="1">
      <alignment horizontal="center"/>
    </xf>
    <xf numFmtId="0" fontId="22" fillId="0" borderId="0" xfId="65" applyFont="1" applyAlignment="1">
      <alignment horizontal="center"/>
    </xf>
    <xf numFmtId="0" fontId="49" fillId="0" borderId="0" xfId="0" applyFont="1" applyAlignment="1">
      <alignment horizontal="center" vertical="center"/>
    </xf>
    <xf numFmtId="0" fontId="48" fillId="30" borderId="26" xfId="0" applyFont="1" applyFill="1" applyBorder="1" applyAlignment="1">
      <alignment horizontal="center" vertical="center"/>
    </xf>
    <xf numFmtId="0" fontId="48" fillId="30" borderId="28" xfId="0" applyFont="1" applyFill="1" applyBorder="1" applyAlignment="1">
      <alignment horizontal="center" vertical="center"/>
    </xf>
    <xf numFmtId="0" fontId="48" fillId="30" borderId="27" xfId="0" applyFont="1" applyFill="1" applyBorder="1" applyAlignment="1">
      <alignment horizontal="center" vertical="center"/>
    </xf>
    <xf numFmtId="0" fontId="34" fillId="0" borderId="14" xfId="0" quotePrefix="1" applyFont="1" applyBorder="1" applyAlignment="1">
      <alignment horizontal="center" vertical="center"/>
    </xf>
    <xf numFmtId="0" fontId="34" fillId="0" borderId="0" xfId="0" quotePrefix="1" applyFont="1" applyAlignment="1">
      <alignment horizontal="center" vertical="center"/>
    </xf>
    <xf numFmtId="0" fontId="27" fillId="3" borderId="13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</cellXfs>
  <cellStyles count="532">
    <cellStyle name="20 % - Accent1" xfId="9" xr:uid="{683E1451-4E56-4F65-B891-8084F7BA3CB9}"/>
    <cellStyle name="20 % - Accent2" xfId="10" xr:uid="{2374114D-0B03-434C-B7C9-FAA7D63081A3}"/>
    <cellStyle name="20 % - Accent3" xfId="11" xr:uid="{4EF9F8CC-D3E9-47B6-8A98-90281F4A95A6}"/>
    <cellStyle name="20 % - Accent4" xfId="12" xr:uid="{38A99776-6345-49D9-A29D-980EFCEC6BD7}"/>
    <cellStyle name="20 % - Accent5" xfId="13" xr:uid="{FB6B623D-EB46-4D14-AF06-473AFD6103E2}"/>
    <cellStyle name="20 % - Accent6" xfId="14" xr:uid="{2C7FAB9F-6F50-4AD9-85D3-7B5932941099}"/>
    <cellStyle name="40 % - Accent1" xfId="15" xr:uid="{7AA5426A-D55D-403D-AFCB-1B135EFD9077}"/>
    <cellStyle name="40 % - Accent2" xfId="16" xr:uid="{B38BAE2E-BEE8-4F16-BACC-FD67908E98D2}"/>
    <cellStyle name="40 % - Accent3" xfId="17" xr:uid="{D856C21F-CF28-4FBA-B4A8-4B18EEA3D405}"/>
    <cellStyle name="40 % - Accent4" xfId="18" xr:uid="{29CF7DA9-FB88-4C32-92E7-C91675FD80AB}"/>
    <cellStyle name="40 % - Accent5" xfId="19" xr:uid="{0A4C545B-0ACE-4FC4-85AC-D14F0636DB2C}"/>
    <cellStyle name="40 % - Accent6" xfId="20" xr:uid="{16CDCCED-7FA9-4862-93D4-3585133BB19A}"/>
    <cellStyle name="60 % - Accent1" xfId="21" xr:uid="{9B41CA70-E298-4938-839C-60760415F3B5}"/>
    <cellStyle name="60 % - Accent2" xfId="22" xr:uid="{F33C8962-408C-4744-9E3C-F9CAEA871B26}"/>
    <cellStyle name="60 % - Accent3" xfId="23" xr:uid="{848D2238-BB80-47FD-9B62-33165FE6AA20}"/>
    <cellStyle name="60 % - Accent4" xfId="24" xr:uid="{B2BFA7F0-4110-49B0-8E36-945ABB51EBFA}"/>
    <cellStyle name="60 % - Accent5" xfId="25" xr:uid="{06CBAB95-C5F3-4864-9B3D-DB056811D9AD}"/>
    <cellStyle name="60 % - Accent6" xfId="26" xr:uid="{A9321F7B-ECFB-46C8-BC0C-E3B0915CA9D6}"/>
    <cellStyle name="Avertissement" xfId="27" xr:uid="{2AAE3A66-80D9-499E-9FF0-3C199847C543}"/>
    <cellStyle name="Calcul" xfId="28" xr:uid="{35848F9C-DB2A-4F4D-BE71-BFA4CE364336}"/>
    <cellStyle name="Calcul 2" xfId="75" xr:uid="{B032C677-EE0D-47C1-B475-D81EFC391999}"/>
    <cellStyle name="Cellule liée" xfId="29" xr:uid="{A478AD05-FD36-4D8C-987C-9C17756DE3C3}"/>
    <cellStyle name="Comma 2" xfId="6" xr:uid="{E159680D-01AD-4649-B0AA-CB47CE19B676}"/>
    <cellStyle name="Comma 2 2" xfId="31" xr:uid="{6ADB9E21-0758-4F58-9E16-497BC6AD624B}"/>
    <cellStyle name="Comma 2 2 2" xfId="77" xr:uid="{BF793362-9839-4416-A1CA-7F14B10BC3BB}"/>
    <cellStyle name="Comma 2 3" xfId="30" xr:uid="{727EB5CC-5749-4F41-81EA-900220BB1375}"/>
    <cellStyle name="Comma 2 4" xfId="76" xr:uid="{C553D5FD-89A8-4626-9C6F-E513EE0F15FF}"/>
    <cellStyle name="Comma 3" xfId="32" xr:uid="{5FA233A1-216F-4BDD-9DC1-58EE42E81202}"/>
    <cellStyle name="Comma 4" xfId="33" xr:uid="{108B6E07-1107-4D51-9173-8E634D0C573A}"/>
    <cellStyle name="Comma 4 2" xfId="34" xr:uid="{7FC644E9-D258-49B6-A7A8-CFAE84D82C9F}"/>
    <cellStyle name="Comma 4 2 2" xfId="79" xr:uid="{9B97C2CA-5CEC-423E-BDF6-658EEFE9A92B}"/>
    <cellStyle name="Comma 4 3" xfId="78" xr:uid="{D97792F1-DD0F-4432-A06F-DD349B4C4A06}"/>
    <cellStyle name="Comma 5" xfId="35" xr:uid="{EEA2E6E1-E273-4AFD-BBE4-7987BEF9258D}"/>
    <cellStyle name="Comma 6" xfId="36" xr:uid="{4104BC9A-B706-4CD9-BBF6-335207697B62}"/>
    <cellStyle name="Comma 6 2" xfId="83" xr:uid="{69BE18ED-6306-4DB9-A36A-3B18F7DD0EF6}"/>
    <cellStyle name="Comma 7" xfId="37" xr:uid="{D39BFE3B-970B-4CA5-BECA-92E127FF7FD7}"/>
    <cellStyle name="Comma 7 2" xfId="38" xr:uid="{147ABFE5-6900-4F0A-A105-A2795B8F5B48}"/>
    <cellStyle name="Comma 7 2 2" xfId="85" xr:uid="{8DABAE68-0903-4669-9DA0-73A0706EC35F}"/>
    <cellStyle name="Comma 7 2 2 2" xfId="102" xr:uid="{DD937D61-279E-46C1-8090-2721D261B2EB}"/>
    <cellStyle name="Comma 7 2 2 2 2" xfId="129" xr:uid="{E4A854E5-BF06-48FF-AA88-9E873C33C674}"/>
    <cellStyle name="Comma 7 2 2 2 2 2" xfId="185" xr:uid="{FAF4C15F-BA01-4AE2-A11F-D119B82C6560}"/>
    <cellStyle name="Comma 7 2 2 2 2 2 2" xfId="297" xr:uid="{E803967B-9E0E-4A81-B008-54D505115009}"/>
    <cellStyle name="Comma 7 2 2 2 2 2 2 2" xfId="525" xr:uid="{DA7111AC-4FD6-4B70-81DB-1E9C8020CAD2}"/>
    <cellStyle name="Comma 7 2 2 2 2 2 3" xfId="413" xr:uid="{4CC20DB4-36CB-4F41-850E-E282D366659D}"/>
    <cellStyle name="Comma 7 2 2 2 2 3" xfId="241" xr:uid="{CFE2CCE8-F06A-405C-B58E-2CAF4AB1C76D}"/>
    <cellStyle name="Comma 7 2 2 2 2 3 2" xfId="469" xr:uid="{DA7E06C8-60DC-485E-836E-15A885B3A25D}"/>
    <cellStyle name="Comma 7 2 2 2 2 4" xfId="357" xr:uid="{88CEB9DD-7DD9-4282-BE1C-B7C0EFE7737F}"/>
    <cellStyle name="Comma 7 2 2 2 3" xfId="157" xr:uid="{8FE8610A-F347-4538-BB85-93F836AE7437}"/>
    <cellStyle name="Comma 7 2 2 2 3 2" xfId="269" xr:uid="{8CAEBFD3-F690-4357-8AB8-E3C503627182}"/>
    <cellStyle name="Comma 7 2 2 2 3 2 2" xfId="497" xr:uid="{58EC8311-1B25-4C31-B964-A0E35B3BCB7A}"/>
    <cellStyle name="Comma 7 2 2 2 3 3" xfId="385" xr:uid="{7A8A736C-0EE1-42DF-9604-0859A8F4F49C}"/>
    <cellStyle name="Comma 7 2 2 2 4" xfId="213" xr:uid="{632376F3-6C7B-497B-B530-65D956CE36E9}"/>
    <cellStyle name="Comma 7 2 2 2 4 2" xfId="441" xr:uid="{1B377306-D8F4-451D-B66B-75321FCB75ED}"/>
    <cellStyle name="Comma 7 2 2 2 5" xfId="329" xr:uid="{9556BBB9-3989-46D8-B5CF-B9A76415D238}"/>
    <cellStyle name="Comma 7 2 2 3" xfId="115" xr:uid="{53F8173D-5D64-4719-9513-C1984DF1E410}"/>
    <cellStyle name="Comma 7 2 2 3 2" xfId="171" xr:uid="{6F00CD94-AAE0-4C40-A7A6-0140940DF475}"/>
    <cellStyle name="Comma 7 2 2 3 2 2" xfId="283" xr:uid="{A24BA01D-CC47-4CFF-97B1-D69FCF0DCEFB}"/>
    <cellStyle name="Comma 7 2 2 3 2 2 2" xfId="511" xr:uid="{CDEAEC4C-D664-4DDD-9674-95CEB11A9141}"/>
    <cellStyle name="Comma 7 2 2 3 2 3" xfId="399" xr:uid="{C993C47B-9C3F-44EF-BFAC-905A66CAECA5}"/>
    <cellStyle name="Comma 7 2 2 3 3" xfId="227" xr:uid="{A02586F2-A019-4EFD-97C0-4F631ACCDFD6}"/>
    <cellStyle name="Comma 7 2 2 3 3 2" xfId="455" xr:uid="{C5A4CE31-C68C-4E83-BCDF-F6F5F65081F0}"/>
    <cellStyle name="Comma 7 2 2 3 4" xfId="343" xr:uid="{C0F184E7-0F41-4E32-A699-BA9CCC478F5C}"/>
    <cellStyle name="Comma 7 2 2 4" xfId="143" xr:uid="{88A306EE-5C56-4124-A3AD-7864A7B254D8}"/>
    <cellStyle name="Comma 7 2 2 4 2" xfId="255" xr:uid="{D06116D4-639A-472D-861B-6F6C8E921231}"/>
    <cellStyle name="Comma 7 2 2 4 2 2" xfId="483" xr:uid="{2F02BAFA-BF88-49B2-9F4E-A73A8EEE7C56}"/>
    <cellStyle name="Comma 7 2 2 4 3" xfId="371" xr:uid="{35C2EBCB-728A-44A2-9825-F73DFD01B832}"/>
    <cellStyle name="Comma 7 2 2 5" xfId="199" xr:uid="{8E2BDF2C-0FDA-443A-93FA-980464363302}"/>
    <cellStyle name="Comma 7 2 2 5 2" xfId="427" xr:uid="{F2E14D35-3F07-4873-86AA-97BAE77D46BB}"/>
    <cellStyle name="Comma 7 2 2 6" xfId="315" xr:uid="{F0CF540C-EB50-43F7-8879-FE0432B15017}"/>
    <cellStyle name="Comma 7 2 3" xfId="96" xr:uid="{574EE736-97AB-49F4-887C-FCE68E366AF8}"/>
    <cellStyle name="Comma 7 2 3 2" xfId="122" xr:uid="{B8DA0598-6863-42BC-AACE-A034F44EFEB7}"/>
    <cellStyle name="Comma 7 2 3 2 2" xfId="178" xr:uid="{63506069-6CF1-4388-82BD-1125A6113956}"/>
    <cellStyle name="Comma 7 2 3 2 2 2" xfId="290" xr:uid="{B2260FB4-892E-4069-BD34-D847997D52D2}"/>
    <cellStyle name="Comma 7 2 3 2 2 2 2" xfId="518" xr:uid="{F664FA73-6270-44B4-A8A9-55A2940947EB}"/>
    <cellStyle name="Comma 7 2 3 2 2 3" xfId="406" xr:uid="{D057DB51-2674-46B0-A24B-D41890B492FA}"/>
    <cellStyle name="Comma 7 2 3 2 3" xfId="234" xr:uid="{5A83E449-73E0-4D1F-8DE4-F664802C49EB}"/>
    <cellStyle name="Comma 7 2 3 2 3 2" xfId="462" xr:uid="{2BE8F720-2E27-4916-9FE7-26F48B889F90}"/>
    <cellStyle name="Comma 7 2 3 2 4" xfId="350" xr:uid="{8CD266C7-C018-4210-B414-F1DF1C1D9016}"/>
    <cellStyle name="Comma 7 2 3 3" xfId="150" xr:uid="{D4A406C7-CF27-40F5-9A01-D4B5ED2A8C73}"/>
    <cellStyle name="Comma 7 2 3 3 2" xfId="262" xr:uid="{366EFCE0-1D5E-444A-8BF8-ACE1FEC2CE7D}"/>
    <cellStyle name="Comma 7 2 3 3 2 2" xfId="490" xr:uid="{D181FAFF-F0B3-4607-AB7E-127C5868A76F}"/>
    <cellStyle name="Comma 7 2 3 3 3" xfId="378" xr:uid="{3123415D-5CC2-4618-8398-0F714D0FD85F}"/>
    <cellStyle name="Comma 7 2 3 4" xfId="206" xr:uid="{EB5891A7-02B7-4DFF-B6BB-93463937980B}"/>
    <cellStyle name="Comma 7 2 3 4 2" xfId="434" xr:uid="{05BB7F5D-E616-4F16-A8DA-074C513CA5FE}"/>
    <cellStyle name="Comma 7 2 3 5" xfId="322" xr:uid="{9CFC9375-CE3E-4F82-9F66-7926F0E51A32}"/>
    <cellStyle name="Comma 7 2 4" xfId="109" xr:uid="{69B64C9D-DA08-4888-83D9-74D0F3DA05A5}"/>
    <cellStyle name="Comma 7 2 4 2" xfId="164" xr:uid="{0DD998AB-0610-4BAD-AB2E-240550F37F50}"/>
    <cellStyle name="Comma 7 2 4 2 2" xfId="276" xr:uid="{7DCA558E-56AD-4D4F-AE00-14366B2B1EDD}"/>
    <cellStyle name="Comma 7 2 4 2 2 2" xfId="504" xr:uid="{D7990A00-EB98-46DC-820D-EA3D09958B8D}"/>
    <cellStyle name="Comma 7 2 4 2 3" xfId="392" xr:uid="{04FCC83B-85B0-469C-826C-E19A665539AB}"/>
    <cellStyle name="Comma 7 2 4 3" xfId="220" xr:uid="{593D0E8C-5EB6-4C4D-9A0D-3C971C392649}"/>
    <cellStyle name="Comma 7 2 4 3 2" xfId="448" xr:uid="{837450FC-0D01-4D19-B91F-F09BA1DC7FF7}"/>
    <cellStyle name="Comma 7 2 4 4" xfId="336" xr:uid="{C5CF0E61-A880-47F5-8C6D-B5DA820F96E9}"/>
    <cellStyle name="Comma 7 2 5" xfId="136" xr:uid="{B6709630-5A19-44D4-B12E-EF9C96493D1A}"/>
    <cellStyle name="Comma 7 2 5 2" xfId="248" xr:uid="{E892C46B-610C-4BE5-9B9E-3C0B1C999FA2}"/>
    <cellStyle name="Comma 7 2 5 2 2" xfId="476" xr:uid="{13F3CB03-8E57-4A1E-99DA-2378FB9D41FE}"/>
    <cellStyle name="Comma 7 2 5 3" xfId="364" xr:uid="{105755C6-AE09-4D50-AC7E-03CA82F83A90}"/>
    <cellStyle name="Comma 7 2 6" xfId="192" xr:uid="{61C41CE7-CA6E-4226-8F68-E5FDB7FBDA4F}"/>
    <cellStyle name="Comma 7 2 6 2" xfId="420" xr:uid="{26434633-F198-4FA0-B8B9-7CD43A3D5FA7}"/>
    <cellStyle name="Comma 7 2 7" xfId="308" xr:uid="{068E913A-CDC7-4093-968C-95D7D70DFF2A}"/>
    <cellStyle name="Comma 7 3" xfId="84" xr:uid="{883B163E-2AD7-4429-83B0-52E2C066C0EB}"/>
    <cellStyle name="Comma 7 3 2" xfId="101" xr:uid="{4940C54E-B174-434A-A169-0BB95564CA34}"/>
    <cellStyle name="Comma 7 3 2 2" xfId="128" xr:uid="{C4C799AD-4941-44B1-8DFF-21FD5F03DBDB}"/>
    <cellStyle name="Comma 7 3 2 2 2" xfId="184" xr:uid="{2CA9392E-E435-46D2-B3C7-551E08EF1F5E}"/>
    <cellStyle name="Comma 7 3 2 2 2 2" xfId="296" xr:uid="{C2B86025-57F4-4159-8B16-E018DF01009F}"/>
    <cellStyle name="Comma 7 3 2 2 2 2 2" xfId="524" xr:uid="{054A47FA-19DD-426F-A436-4B4531113508}"/>
    <cellStyle name="Comma 7 3 2 2 2 3" xfId="412" xr:uid="{BDFFF6E5-8F70-48BA-AADC-1AFE1D15CD30}"/>
    <cellStyle name="Comma 7 3 2 2 3" xfId="240" xr:uid="{65EEBA5B-1EC5-4919-9BB6-29F21D9246A2}"/>
    <cellStyle name="Comma 7 3 2 2 3 2" xfId="468" xr:uid="{2E07FE49-8E87-4C75-9ABB-4B2E13995750}"/>
    <cellStyle name="Comma 7 3 2 2 4" xfId="356" xr:uid="{DAE495C1-73F4-4D40-B43D-447CBDF5A674}"/>
    <cellStyle name="Comma 7 3 2 3" xfId="156" xr:uid="{9B2C942B-2719-4D12-9351-59BA8B86C17B}"/>
    <cellStyle name="Comma 7 3 2 3 2" xfId="268" xr:uid="{726DFD88-7C6D-481C-93DE-50A5878FB980}"/>
    <cellStyle name="Comma 7 3 2 3 2 2" xfId="496" xr:uid="{4C0C4337-FE18-4A91-83C9-3C90A88AD2A1}"/>
    <cellStyle name="Comma 7 3 2 3 3" xfId="384" xr:uid="{D3F42E16-5DE9-417B-A2F4-D1423C291DA5}"/>
    <cellStyle name="Comma 7 3 2 4" xfId="212" xr:uid="{0E6BA9BC-BCDD-4C7D-BB6F-BBC2639F53F0}"/>
    <cellStyle name="Comma 7 3 2 4 2" xfId="440" xr:uid="{3A3D3114-2E19-4F75-8817-7B3DABEDE26B}"/>
    <cellStyle name="Comma 7 3 2 5" xfId="328" xr:uid="{59CC19CB-A9E3-47D0-8E78-30902F8619BC}"/>
    <cellStyle name="Comma 7 3 3" xfId="114" xr:uid="{692FC919-9002-44DC-8C33-6E6B21AF5AC0}"/>
    <cellStyle name="Comma 7 3 3 2" xfId="170" xr:uid="{3C80B590-11E0-4EA2-B0DD-95B4F938D4EF}"/>
    <cellStyle name="Comma 7 3 3 2 2" xfId="282" xr:uid="{CBA0AA34-6993-45B9-B65D-64A24BDEC88D}"/>
    <cellStyle name="Comma 7 3 3 2 2 2" xfId="510" xr:uid="{59259FB5-3DAC-49E9-9D72-2EB8CCB79355}"/>
    <cellStyle name="Comma 7 3 3 2 3" xfId="398" xr:uid="{18C5BA46-FBED-4820-8A84-F0ACE1AF152B}"/>
    <cellStyle name="Comma 7 3 3 3" xfId="226" xr:uid="{846E30E9-D429-46C1-9EF0-BEA2A02D7931}"/>
    <cellStyle name="Comma 7 3 3 3 2" xfId="454" xr:uid="{3572F85C-247C-4002-A871-1CBE9CBB37A5}"/>
    <cellStyle name="Comma 7 3 3 4" xfId="342" xr:uid="{2D3A629C-29D0-4151-9776-136F45201C68}"/>
    <cellStyle name="Comma 7 3 4" xfId="142" xr:uid="{2BCE4F6E-DC3F-4185-8EDB-65AC76FE769E}"/>
    <cellStyle name="Comma 7 3 4 2" xfId="254" xr:uid="{DCEEB56A-091B-49FD-9987-AC7FD0D67994}"/>
    <cellStyle name="Comma 7 3 4 2 2" xfId="482" xr:uid="{8CA49D97-CB0F-4EBA-BAC9-7D8721C969D6}"/>
    <cellStyle name="Comma 7 3 4 3" xfId="370" xr:uid="{E8EED70E-4813-41CC-9B29-D7EFAB629714}"/>
    <cellStyle name="Comma 7 3 5" xfId="198" xr:uid="{D6262D1D-A2E0-4914-A817-621E12330FC1}"/>
    <cellStyle name="Comma 7 3 5 2" xfId="426" xr:uid="{67F60104-50FC-4E02-A1A0-62BDF487615B}"/>
    <cellStyle name="Comma 7 3 6" xfId="314" xr:uid="{15BE6D22-79BB-4537-9DDA-0694FAEFD4B2}"/>
    <cellStyle name="Comma 7 4" xfId="95" xr:uid="{9D0F7C05-837A-4E22-BAA9-3AC6B1AB0CEB}"/>
    <cellStyle name="Comma 7 4 2" xfId="121" xr:uid="{C288F2E3-5748-49A1-B0D4-7814AC2C2979}"/>
    <cellStyle name="Comma 7 4 2 2" xfId="177" xr:uid="{99C2DAE9-B801-4872-B8B9-4B8726F9395B}"/>
    <cellStyle name="Comma 7 4 2 2 2" xfId="289" xr:uid="{B6FE29D9-E5E9-4A0B-B8A7-3010E9D610F6}"/>
    <cellStyle name="Comma 7 4 2 2 2 2" xfId="517" xr:uid="{C3907AEE-F3AE-4912-BEA9-AA6CC394DC90}"/>
    <cellStyle name="Comma 7 4 2 2 3" xfId="405" xr:uid="{7B2F91CB-5E5C-4D88-AB46-B99DD1C9F0DE}"/>
    <cellStyle name="Comma 7 4 2 3" xfId="233" xr:uid="{D2FD07FD-A38D-459F-9362-61200D75DBCB}"/>
    <cellStyle name="Comma 7 4 2 3 2" xfId="461" xr:uid="{1CEE5E97-40B4-4A4C-A42A-C99B53082A26}"/>
    <cellStyle name="Comma 7 4 2 4" xfId="349" xr:uid="{5116F494-DF60-4863-9D95-8BFBA78F5B51}"/>
    <cellStyle name="Comma 7 4 3" xfId="149" xr:uid="{50C7A1A2-EF1A-43F7-B2E6-E392BCD5CCBA}"/>
    <cellStyle name="Comma 7 4 3 2" xfId="261" xr:uid="{6BB9994D-1016-42C4-BC94-DA646DA8F2A4}"/>
    <cellStyle name="Comma 7 4 3 2 2" xfId="489" xr:uid="{0C838391-EDBF-4F6B-ADE1-392D492536A4}"/>
    <cellStyle name="Comma 7 4 3 3" xfId="377" xr:uid="{832D8B36-F662-41F6-8103-FB626E24868E}"/>
    <cellStyle name="Comma 7 4 4" xfId="205" xr:uid="{2B4CEC71-F11A-46F0-A032-8F5F5EB9F379}"/>
    <cellStyle name="Comma 7 4 4 2" xfId="433" xr:uid="{0B713054-9245-4BA9-A6F2-BDE3EC562570}"/>
    <cellStyle name="Comma 7 4 5" xfId="321" xr:uid="{2695F32F-3CA2-429E-A2BD-2797BC45AFCE}"/>
    <cellStyle name="Comma 7 5" xfId="108" xr:uid="{2C603B65-F40E-4498-B32D-0F28C49A7E4C}"/>
    <cellStyle name="Comma 7 5 2" xfId="163" xr:uid="{DC8E33E4-B59C-4214-9B19-737789561889}"/>
    <cellStyle name="Comma 7 5 2 2" xfId="275" xr:uid="{E3160686-34AE-4D04-81A8-DC2B69353483}"/>
    <cellStyle name="Comma 7 5 2 2 2" xfId="503" xr:uid="{A4EDA693-1CC4-4387-A718-4E9828DE1094}"/>
    <cellStyle name="Comma 7 5 2 3" xfId="391" xr:uid="{29CA3C9D-09E1-401A-B93C-78FAE300839D}"/>
    <cellStyle name="Comma 7 5 3" xfId="219" xr:uid="{798869A4-617A-4D35-819A-F0E9D2F58555}"/>
    <cellStyle name="Comma 7 5 3 2" xfId="447" xr:uid="{3ED3E1BF-F3D1-494B-98FC-07E7542E9085}"/>
    <cellStyle name="Comma 7 5 4" xfId="335" xr:uid="{D874040C-2818-4672-930C-82B4BCE6DDA5}"/>
    <cellStyle name="Comma 7 6" xfId="135" xr:uid="{EB95B065-0A33-4B80-8A46-111B63EE73C1}"/>
    <cellStyle name="Comma 7 6 2" xfId="247" xr:uid="{B48B2E7D-8933-4F01-B10A-5026A6392001}"/>
    <cellStyle name="Comma 7 6 2 2" xfId="475" xr:uid="{B6432076-DD72-48FD-A688-6F33CB84EA45}"/>
    <cellStyle name="Comma 7 6 3" xfId="363" xr:uid="{976EA453-6C05-4E99-81D2-7B8365CFB44E}"/>
    <cellStyle name="Comma 7 7" xfId="191" xr:uid="{B089B947-186E-4C34-99CE-449181FDD6D4}"/>
    <cellStyle name="Comma 7 7 2" xfId="419" xr:uid="{EDC275B8-8426-45EC-86A4-A103BB96DEFC}"/>
    <cellStyle name="Comma 7 8" xfId="307" xr:uid="{DCA1CC80-D692-45AA-A3E1-2201772D2BC2}"/>
    <cellStyle name="Comma 7 9" xfId="80" xr:uid="{D2FDF8B8-1C68-47E0-83E7-F92437ED256D}"/>
    <cellStyle name="Comma 8" xfId="67" xr:uid="{2DFD2442-A1F8-40F0-B835-59A85A355603}"/>
    <cellStyle name="Comma 9" xfId="72" xr:uid="{C66A5520-9029-4628-B53C-8C2CB7B2F714}"/>
    <cellStyle name="Commentaire" xfId="39" xr:uid="{9F2D146B-9800-43C4-A6AB-2AD6B78B37AA}"/>
    <cellStyle name="Commentaire 2" xfId="81" xr:uid="{B11CDF29-B58B-4556-8C22-8EFAEA439142}"/>
    <cellStyle name="Currency" xfId="531" builtinId="4"/>
    <cellStyle name="Date" xfId="40" xr:uid="{29F18B38-E9A4-4ECE-8E84-2D81FE3590E3}"/>
    <cellStyle name="En-tete1" xfId="41" xr:uid="{5010EFE6-D56F-43D5-AFD7-C56389D68928}"/>
    <cellStyle name="En-tete2" xfId="42" xr:uid="{86E0B8DA-D34D-494C-9346-06020A875CA0}"/>
    <cellStyle name="Entrée" xfId="43" xr:uid="{2053FBC4-1057-4947-9948-C3E9B7B3E1FD}"/>
    <cellStyle name="Entrée 2" xfId="82" xr:uid="{26E51ADC-1258-4E06-A541-90BBB22AAC1E}"/>
    <cellStyle name="Euro" xfId="44" xr:uid="{B863DDEA-8B2D-49E9-88BF-79EA06EE0769}"/>
    <cellStyle name="Euro 2" xfId="45" xr:uid="{EAD13632-D2E4-473B-B9ED-73C433D20D31}"/>
    <cellStyle name="Euro 3" xfId="46" xr:uid="{1941600F-8782-4C0E-81EF-8AA93D2A9E64}"/>
    <cellStyle name="Euro 3 2" xfId="86" xr:uid="{F58BF97C-903F-4AFF-B236-BCF7DE320B1D}"/>
    <cellStyle name="Excel Built-in Normal" xfId="47" xr:uid="{DDEFAA85-423B-40F9-8172-B3ACF45FF04A}"/>
    <cellStyle name="Financier" xfId="48" xr:uid="{7F2416F7-5C97-4F1E-95BD-13F58052447C}"/>
    <cellStyle name="Fixe" xfId="49" xr:uid="{6014482C-1570-42BD-A526-E80528A484A4}"/>
    <cellStyle name="Hyperlink" xfId="66" builtinId="8"/>
    <cellStyle name="Hyperlink 2" xfId="50" xr:uid="{7DA35199-72D8-4AD5-BDC5-326A2D034B33}"/>
    <cellStyle name="Milliers 2" xfId="51" xr:uid="{D3465E22-6B3E-4C73-A6EC-7AD1C0CABD71}"/>
    <cellStyle name="Milliers 3" xfId="5" xr:uid="{8E7A7029-16B8-46A8-8757-B02717379772}"/>
    <cellStyle name="Milliers 3 2" xfId="1" xr:uid="{1C6155C1-69B1-4202-856F-0DE163CDA0B7}"/>
    <cellStyle name="Monetaire" xfId="52" xr:uid="{65FB3536-B874-4546-A3F6-CC648F25C830}"/>
    <cellStyle name="Monétaire 2" xfId="53" xr:uid="{51ED56FC-8384-428D-B462-D6595FA7DE84}"/>
    <cellStyle name="Normal" xfId="0" builtinId="0"/>
    <cellStyle name="Normal 10" xfId="70" xr:uid="{780BF330-D767-46E2-89A7-B38D13198BFB}"/>
    <cellStyle name="Normal 10 2" xfId="2" xr:uid="{40FFA972-6FC6-4394-A187-62271DD64E3C}"/>
    <cellStyle name="Normal 10 2 2" xfId="87" xr:uid="{A7DCF692-7D8E-4403-BCE2-B545D3EAA8A6}"/>
    <cellStyle name="Normal 10 2 2 2" xfId="103" xr:uid="{CD19BB5A-E4F5-4702-B54B-54124ED3E8A9}"/>
    <cellStyle name="Normal 10 2 2 2 2" xfId="130" xr:uid="{BA240C7A-0F3F-454C-9B1C-A211ECF7A202}"/>
    <cellStyle name="Normal 10 2 2 2 2 2" xfId="186" xr:uid="{E57C3318-D410-4D1A-980E-B6277DC19477}"/>
    <cellStyle name="Normal 10 2 2 2 2 2 2" xfId="298" xr:uid="{14510B18-60D0-4136-BB54-527229DC0C25}"/>
    <cellStyle name="Normal 10 2 2 2 2 2 2 2" xfId="526" xr:uid="{4DF829A8-D2A2-47D9-B9B8-EFCA10B17F93}"/>
    <cellStyle name="Normal 10 2 2 2 2 2 3" xfId="414" xr:uid="{2293B0BD-07AA-49E7-A1DE-D0AFA7E1D1CA}"/>
    <cellStyle name="Normal 10 2 2 2 2 3" xfId="242" xr:uid="{BC77D701-E225-4955-90D6-CB9D7AC3FAD1}"/>
    <cellStyle name="Normal 10 2 2 2 2 3 2" xfId="470" xr:uid="{E996CBEA-4AEE-4D55-81C3-0FAB98A099ED}"/>
    <cellStyle name="Normal 10 2 2 2 2 4" xfId="358" xr:uid="{4F6C321A-BC9F-4F4C-856A-951E81A46AB2}"/>
    <cellStyle name="Normal 10 2 2 2 3" xfId="158" xr:uid="{ACEB481B-C05A-4F10-ACED-0CBC283783C8}"/>
    <cellStyle name="Normal 10 2 2 2 3 2" xfId="270" xr:uid="{041B45B5-958E-4AD1-A037-13D86D33DFCC}"/>
    <cellStyle name="Normal 10 2 2 2 3 2 2" xfId="498" xr:uid="{EE799E89-21EB-4044-A8D1-68D21609A611}"/>
    <cellStyle name="Normal 10 2 2 2 3 3" xfId="386" xr:uid="{CDDDBD27-6943-408A-A2AE-AE446750F7A1}"/>
    <cellStyle name="Normal 10 2 2 2 4" xfId="214" xr:uid="{52FD982D-07C0-425D-BA60-8018ACD578C6}"/>
    <cellStyle name="Normal 10 2 2 2 4 2" xfId="442" xr:uid="{6528AE50-A0AD-40B6-BE7E-DD68631E34B8}"/>
    <cellStyle name="Normal 10 2 2 2 5" xfId="330" xr:uid="{E05BE7E2-C9BB-4C7D-B0A5-A06B38BEA81A}"/>
    <cellStyle name="Normal 10 2 2 3" xfId="116" xr:uid="{7FEEB07F-A360-4350-9B98-38329E9A1EA6}"/>
    <cellStyle name="Normal 10 2 2 3 2" xfId="172" xr:uid="{4A233528-654B-4049-8805-1F62C163A90D}"/>
    <cellStyle name="Normal 10 2 2 3 2 2" xfId="284" xr:uid="{191E44BA-9582-4B4E-ADDB-126A6CD51329}"/>
    <cellStyle name="Normal 10 2 2 3 2 2 2" xfId="512" xr:uid="{9824C302-CAA7-482C-9852-76A11452DC78}"/>
    <cellStyle name="Normal 10 2 2 3 2 3" xfId="400" xr:uid="{EEEC047C-7ACA-4968-A96B-83FD6B8163C2}"/>
    <cellStyle name="Normal 10 2 2 3 3" xfId="228" xr:uid="{5484883E-46B5-48A4-97CA-22C7F73B5729}"/>
    <cellStyle name="Normal 10 2 2 3 3 2" xfId="456" xr:uid="{BFC94C28-FD30-4ED8-B09C-7AC9B48E4F7C}"/>
    <cellStyle name="Normal 10 2 2 3 4" xfId="344" xr:uid="{6510CA26-8A5C-4E93-8E67-77EF1B37B07D}"/>
    <cellStyle name="Normal 10 2 2 4" xfId="144" xr:uid="{FA2A11EA-BB09-45E5-8D2D-BAC452B750EE}"/>
    <cellStyle name="Normal 10 2 2 4 2" xfId="256" xr:uid="{3FD08E5B-0273-489D-84C4-C2FCFDA21583}"/>
    <cellStyle name="Normal 10 2 2 4 2 2" xfId="484" xr:uid="{FF645103-594A-496F-98A4-AF404A1B64CF}"/>
    <cellStyle name="Normal 10 2 2 4 3" xfId="372" xr:uid="{FC76E900-990B-4147-98F1-5A3D15CDCF60}"/>
    <cellStyle name="Normal 10 2 2 5" xfId="200" xr:uid="{4CB10A52-FB32-4F14-A6AF-5054B8582ACC}"/>
    <cellStyle name="Normal 10 2 2 5 2" xfId="428" xr:uid="{87D4EE20-0A3E-46F8-A974-913BB7B6A8A1}"/>
    <cellStyle name="Normal 10 2 2 6" xfId="316" xr:uid="{794D29AD-EF92-4594-9035-CB110F239657}"/>
    <cellStyle name="Normal 10 2 3" xfId="97" xr:uid="{F18B60F8-5A04-490F-B97F-2BEDA0D5FD59}"/>
    <cellStyle name="Normal 10 2 3 2" xfId="123" xr:uid="{A0D048B5-B4CE-4038-8FCF-2E814AF734D1}"/>
    <cellStyle name="Normal 10 2 3 2 2" xfId="179" xr:uid="{20A2B6C4-239D-4D5E-9819-E94505F79273}"/>
    <cellStyle name="Normal 10 2 3 2 2 2" xfId="291" xr:uid="{E3109B6B-0B99-42A1-9C7E-F74E970B2BE1}"/>
    <cellStyle name="Normal 10 2 3 2 2 2 2" xfId="519" xr:uid="{03030FD2-FD63-4EE4-9130-75A7BB1EEBE0}"/>
    <cellStyle name="Normal 10 2 3 2 2 3" xfId="407" xr:uid="{BAA44520-8A52-4F53-ACC3-9BF9E3C60977}"/>
    <cellStyle name="Normal 10 2 3 2 3" xfId="235" xr:uid="{ABF5B8D0-951C-412C-A308-D03D40416077}"/>
    <cellStyle name="Normal 10 2 3 2 3 2" xfId="463" xr:uid="{33002A3C-95CB-4F0A-B402-EE6B87DB3BFA}"/>
    <cellStyle name="Normal 10 2 3 2 4" xfId="351" xr:uid="{EBFE8F5E-E869-486B-815A-C54A87AB4C4D}"/>
    <cellStyle name="Normal 10 2 3 3" xfId="151" xr:uid="{43B5A39C-67A8-4DE6-A8EC-BF202F4DB458}"/>
    <cellStyle name="Normal 10 2 3 3 2" xfId="263" xr:uid="{4E24E6AD-B35D-424F-8574-FF39336246BB}"/>
    <cellStyle name="Normal 10 2 3 3 2 2" xfId="491" xr:uid="{A495D414-B2B5-4628-8698-9F10B934BF58}"/>
    <cellStyle name="Normal 10 2 3 3 3" xfId="379" xr:uid="{006BD7F3-4A3C-469D-A3D4-DB1E3FBCDA87}"/>
    <cellStyle name="Normal 10 2 3 4" xfId="207" xr:uid="{76F6FEF3-CF07-4289-B5C2-D9246B52017F}"/>
    <cellStyle name="Normal 10 2 3 4 2" xfId="435" xr:uid="{C3B7572D-2117-4538-B417-8CC8028A4E7B}"/>
    <cellStyle name="Normal 10 2 3 5" xfId="323" xr:uid="{91438569-BE10-42D8-84C8-14ED961A4262}"/>
    <cellStyle name="Normal 10 2 4" xfId="110" xr:uid="{58E7BCD6-7933-4403-99F7-2EA5E656D7C8}"/>
    <cellStyle name="Normal 10 2 4 2" xfId="165" xr:uid="{D9A893A9-E019-4F29-A56A-2FBC74281817}"/>
    <cellStyle name="Normal 10 2 4 2 2" xfId="277" xr:uid="{CE77F3DD-B00C-4928-A36C-466B75148F31}"/>
    <cellStyle name="Normal 10 2 4 2 2 2" xfId="505" xr:uid="{177FD7E4-D8BC-4F56-BA29-E5A3969280BF}"/>
    <cellStyle name="Normal 10 2 4 2 3" xfId="393" xr:uid="{E23210C2-E0D8-4E2B-BC30-90C1CF2B648A}"/>
    <cellStyle name="Normal 10 2 4 3" xfId="221" xr:uid="{F823E64C-0A37-4CAF-AD46-7938A6F76348}"/>
    <cellStyle name="Normal 10 2 4 3 2" xfId="449" xr:uid="{5433193F-7C03-4D82-A906-3FCAE066F929}"/>
    <cellStyle name="Normal 10 2 4 4" xfId="337" xr:uid="{A7C45062-5D76-48A0-BD05-1F990A9B0706}"/>
    <cellStyle name="Normal 10 2 5" xfId="137" xr:uid="{13ABA93E-36D7-477F-A0DA-026D56CA4BA4}"/>
    <cellStyle name="Normal 10 2 5 2" xfId="249" xr:uid="{FFA37E25-C2DE-4DBC-89E7-FB183584A341}"/>
    <cellStyle name="Normal 10 2 5 2 2" xfId="477" xr:uid="{01422EBD-5CDF-4CC7-9BA4-EEA2B8898AAC}"/>
    <cellStyle name="Normal 10 2 5 3" xfId="365" xr:uid="{966DB06A-A9C1-4CFD-BEFE-096A22B865FE}"/>
    <cellStyle name="Normal 10 2 6" xfId="193" xr:uid="{5D87B924-28C2-40D7-B577-939D0A405A66}"/>
    <cellStyle name="Normal 10 2 6 2" xfId="421" xr:uid="{F8A422C5-B2A0-4E2D-9018-21E2D19AF681}"/>
    <cellStyle name="Normal 10 2 7" xfId="309" xr:uid="{06C686D5-CAF5-4731-B3F3-A0B46E834EC9}"/>
    <cellStyle name="Normal 11" xfId="71" xr:uid="{F8C23FE6-E24C-4F03-9DB6-6F496821064E}"/>
    <cellStyle name="Normal 12" xfId="73" xr:uid="{2CE7E331-E07B-426C-B353-71FC36518589}"/>
    <cellStyle name="Normal 13" xfId="74" xr:uid="{8774137C-7131-4B8C-9D73-F4677A8013EE}"/>
    <cellStyle name="Normal 2" xfId="3" xr:uid="{2A73EB1D-3DDD-4EAB-B3F6-64914C439585}"/>
    <cellStyle name="Normal 2 2" xfId="54" xr:uid="{6E8C7868-0F3B-47DF-B5B8-6371B7876605}"/>
    <cellStyle name="Normal 2 2 2" xfId="88" xr:uid="{E8DE1979-DBBA-4214-B9AE-15B0991ABFD4}"/>
    <cellStyle name="Normal 3" xfId="55" xr:uid="{7CA42CE9-1F80-4229-8C90-8A00E401FCD3}"/>
    <cellStyle name="Normal 3 2" xfId="56" xr:uid="{F4786092-B1CC-4B6B-AF8B-6AA21AFD697B}"/>
    <cellStyle name="Normal 3 3" xfId="57" xr:uid="{2A5DE932-FC2F-4E08-8EA3-9E03CB5D2798}"/>
    <cellStyle name="Normal 3 3 2" xfId="89" xr:uid="{069CC865-F580-4317-B5AB-3FF5028B86E6}"/>
    <cellStyle name="Normal 4" xfId="58" xr:uid="{23EB200D-A927-4890-95E5-C094991292D5}"/>
    <cellStyle name="Normal 4 2" xfId="90" xr:uid="{2768C297-000B-40E0-A68B-95B59BC4DDE3}"/>
    <cellStyle name="Normal 4 2 2" xfId="104" xr:uid="{086366DD-166E-4C0C-B734-FC28CEBE0644}"/>
    <cellStyle name="Normal 4 2 2 2" xfId="131" xr:uid="{FFB1C59A-AF4B-4469-BAA7-3D53AFB001EB}"/>
    <cellStyle name="Normal 4 2 2 2 2" xfId="187" xr:uid="{8C04E97B-3B07-4CF7-9B3D-9A2CC24D1071}"/>
    <cellStyle name="Normal 4 2 2 2 2 2" xfId="299" xr:uid="{C63CCFA5-F42F-4ADB-9068-19049149392B}"/>
    <cellStyle name="Normal 4 2 2 2 2 2 2" xfId="527" xr:uid="{F58063F4-0128-4AD3-B454-F35323E038D7}"/>
    <cellStyle name="Normal 4 2 2 2 2 3" xfId="415" xr:uid="{51C475BF-0CF3-48EE-BFFD-15E6D817446E}"/>
    <cellStyle name="Normal 4 2 2 2 3" xfId="243" xr:uid="{F798765B-DC47-4EDC-8FFF-BFD627F76039}"/>
    <cellStyle name="Normal 4 2 2 2 3 2" xfId="471" xr:uid="{978D8AFC-CAE0-424C-9A96-D46D8283EBF1}"/>
    <cellStyle name="Normal 4 2 2 2 4" xfId="359" xr:uid="{23C3CE79-B4F5-450D-8D30-CF90C64C9B1D}"/>
    <cellStyle name="Normal 4 2 2 3" xfId="159" xr:uid="{CB0D7305-689D-4090-AC07-1E6F07154F15}"/>
    <cellStyle name="Normal 4 2 2 3 2" xfId="271" xr:uid="{3AB93BA9-7EC8-4DFC-A468-4705F7878467}"/>
    <cellStyle name="Normal 4 2 2 3 2 2" xfId="499" xr:uid="{998C974C-16AF-454E-B44B-B755093A009E}"/>
    <cellStyle name="Normal 4 2 2 3 3" xfId="387" xr:uid="{CD65F43F-62B1-46A5-B134-864B2EB722BA}"/>
    <cellStyle name="Normal 4 2 2 4" xfId="215" xr:uid="{1733E8B8-BA41-4BF2-8ADB-A74871B924EA}"/>
    <cellStyle name="Normal 4 2 2 4 2" xfId="443" xr:uid="{FC2E4145-D243-411C-AB53-892DCF4486F5}"/>
    <cellStyle name="Normal 4 2 2 5" xfId="331" xr:uid="{861AF896-FC5D-42D2-8F2E-3A591C4E49B2}"/>
    <cellStyle name="Normal 4 2 3" xfId="117" xr:uid="{AA4F400A-68F2-4585-A08A-F923DB338951}"/>
    <cellStyle name="Normal 4 2 3 2" xfId="173" xr:uid="{F2E9A88D-82D9-4454-B3CE-16AE0442046F}"/>
    <cellStyle name="Normal 4 2 3 2 2" xfId="285" xr:uid="{36CE85CC-3F99-46EA-8AD4-73210BF9A35F}"/>
    <cellStyle name="Normal 4 2 3 2 2 2" xfId="513" xr:uid="{B6979DBF-6FB6-44E1-BF5E-695881C77F62}"/>
    <cellStyle name="Normal 4 2 3 2 3" xfId="401" xr:uid="{BCCE87A8-1C0C-4677-A868-9C1FD60DBB44}"/>
    <cellStyle name="Normal 4 2 3 3" xfId="229" xr:uid="{07968E84-CEF5-4555-83E0-CE1EB919E401}"/>
    <cellStyle name="Normal 4 2 3 3 2" xfId="457" xr:uid="{4B868314-B7C8-4185-A2E6-CD9E56C2359A}"/>
    <cellStyle name="Normal 4 2 3 4" xfId="345" xr:uid="{652BA303-DCF1-4BF8-B7D7-180991431640}"/>
    <cellStyle name="Normal 4 2 4" xfId="145" xr:uid="{174EB80F-D949-4DAC-BA69-23BA6DC5391E}"/>
    <cellStyle name="Normal 4 2 4 2" xfId="257" xr:uid="{52D859B0-D526-41E0-A0D2-31E01F7A9495}"/>
    <cellStyle name="Normal 4 2 4 2 2" xfId="485" xr:uid="{C2FF1D85-BFC3-4F4F-93AD-CD3C8FB55F10}"/>
    <cellStyle name="Normal 4 2 4 3" xfId="373" xr:uid="{17FECF4A-A9A6-42EC-B7CA-128BABB9EC76}"/>
    <cellStyle name="Normal 4 2 5" xfId="201" xr:uid="{27E20F0E-1B8A-4068-BAA9-7C97E0F255B2}"/>
    <cellStyle name="Normal 4 2 5 2" xfId="429" xr:uid="{C46336AF-B05B-4D5E-91B1-9325C7D29957}"/>
    <cellStyle name="Normal 4 2 6" xfId="317" xr:uid="{105DAC42-3093-4962-ACA5-F8BD0A2B0332}"/>
    <cellStyle name="Normal 4 3" xfId="98" xr:uid="{D8E2DB4D-8150-4E05-B2FE-FAE3B582CA89}"/>
    <cellStyle name="Normal 4 3 2" xfId="124" xr:uid="{9B8BEEC0-CA80-4AD7-9CCE-B20597373DFE}"/>
    <cellStyle name="Normal 4 3 2 2" xfId="180" xr:uid="{C22FAF74-D623-4B74-AE38-DF46CDE4F18B}"/>
    <cellStyle name="Normal 4 3 2 2 2" xfId="292" xr:uid="{B1C635B3-42F6-461C-92B4-7EF209D67EE6}"/>
    <cellStyle name="Normal 4 3 2 2 2 2" xfId="520" xr:uid="{170ED0D0-F338-4502-AB48-072A7381A3D4}"/>
    <cellStyle name="Normal 4 3 2 2 3" xfId="408" xr:uid="{1AD132E9-6135-4D30-A195-16753C93CE12}"/>
    <cellStyle name="Normal 4 3 2 3" xfId="236" xr:uid="{E7226A88-49C0-4072-9E9A-9719468C3700}"/>
    <cellStyle name="Normal 4 3 2 3 2" xfId="464" xr:uid="{A1CE671D-BAB5-4939-AF88-787072F502A1}"/>
    <cellStyle name="Normal 4 3 2 4" xfId="352" xr:uid="{33FC2C11-566A-4D33-81E6-7BDDF606B5FE}"/>
    <cellStyle name="Normal 4 3 3" xfId="152" xr:uid="{E0647BA5-C572-4BA8-ACAF-3DFE02951248}"/>
    <cellStyle name="Normal 4 3 3 2" xfId="264" xr:uid="{0FF88026-D093-43D5-ACC4-58291B6C7F1F}"/>
    <cellStyle name="Normal 4 3 3 2 2" xfId="492" xr:uid="{2FF065B2-7726-436F-B415-B102C277AC51}"/>
    <cellStyle name="Normal 4 3 3 3" xfId="380" xr:uid="{AE2D3C62-0EF7-45B3-84C9-9A4228ED600D}"/>
    <cellStyle name="Normal 4 3 4" xfId="208" xr:uid="{75C85921-4A6E-4950-BF90-B07AFDBCBECC}"/>
    <cellStyle name="Normal 4 3 4 2" xfId="436" xr:uid="{2A754690-85A2-446E-A7B0-13B1C1D982B7}"/>
    <cellStyle name="Normal 4 3 5" xfId="324" xr:uid="{BB0F07A9-CF05-4EB3-8BD7-22130B6C0878}"/>
    <cellStyle name="Normal 4 4" xfId="111" xr:uid="{FCD8467F-3DE5-410E-A652-8FDBA2822D06}"/>
    <cellStyle name="Normal 4 4 2" xfId="166" xr:uid="{88C48D5B-3C6C-430B-AC43-899836E4212C}"/>
    <cellStyle name="Normal 4 4 2 2" xfId="278" xr:uid="{F3E09D05-014E-4A5A-A09C-AEDA4E9BB9AD}"/>
    <cellStyle name="Normal 4 4 2 2 2" xfId="506" xr:uid="{99F55C7E-D39E-40AF-8294-C086025C18D9}"/>
    <cellStyle name="Normal 4 4 2 3" xfId="394" xr:uid="{35795DC2-255A-4641-8862-2D7DC6706BC8}"/>
    <cellStyle name="Normal 4 4 3" xfId="222" xr:uid="{507C6949-35B8-46FE-87E0-27D1FD943ADE}"/>
    <cellStyle name="Normal 4 4 3 2" xfId="450" xr:uid="{2DAA92F0-D894-4039-9BE7-81A3E2977646}"/>
    <cellStyle name="Normal 4 4 4" xfId="338" xr:uid="{F3F6D8A9-3B71-439F-9926-BD998BB9F211}"/>
    <cellStyle name="Normal 4 5" xfId="138" xr:uid="{5A132CD5-97D3-4213-9817-D8B9F9542A17}"/>
    <cellStyle name="Normal 4 5 2" xfId="250" xr:uid="{9C3A02EE-F351-4C7D-B00E-05F0123A12E1}"/>
    <cellStyle name="Normal 4 5 2 2" xfId="478" xr:uid="{71F4F255-D506-47D5-BC8B-1FB62CD4B714}"/>
    <cellStyle name="Normal 4 5 3" xfId="366" xr:uid="{D82D43FB-2C09-4919-8D40-EFE309823524}"/>
    <cellStyle name="Normal 4 6" xfId="194" xr:uid="{6A7EDEB6-E097-4E91-B1A5-4DE085A329FB}"/>
    <cellStyle name="Normal 4 6 2" xfId="422" xr:uid="{CE06631A-DE99-42E6-9204-CF29C606C1A1}"/>
    <cellStyle name="Normal 4 7" xfId="310" xr:uid="{56E82965-4059-458D-B81F-B48E39E21F93}"/>
    <cellStyle name="Normal 5" xfId="4" xr:uid="{5D50553A-D892-41EF-A89D-3159DC45C6A6}"/>
    <cellStyle name="Normal 5 2" xfId="91" xr:uid="{4B888F59-9F45-43D2-BE5C-D49E4B883102}"/>
    <cellStyle name="Normal 5 2 2" xfId="105" xr:uid="{AA64CB4E-6382-4254-A190-EEEBA0E91500}"/>
    <cellStyle name="Normal 5 2 2 2" xfId="132" xr:uid="{2F3EEF4C-38F5-40B9-AB23-9C1A611AF075}"/>
    <cellStyle name="Normal 5 2 2 2 2" xfId="188" xr:uid="{BBD979A0-3E1B-421E-8136-8734BFFD3A26}"/>
    <cellStyle name="Normal 5 2 2 2 2 2" xfId="300" xr:uid="{861ACF28-E6BC-4267-B83A-B9B16C8357FB}"/>
    <cellStyle name="Normal 5 2 2 2 2 2 2" xfId="528" xr:uid="{B73C5EBF-61D1-41BD-9F07-C4CD85866BD5}"/>
    <cellStyle name="Normal 5 2 2 2 2 3" xfId="416" xr:uid="{3660A10C-666C-41A5-8F4A-B41A57CBE788}"/>
    <cellStyle name="Normal 5 2 2 2 3" xfId="244" xr:uid="{06F7D257-F7D8-4B94-9628-E7E940F9B7A3}"/>
    <cellStyle name="Normal 5 2 2 2 3 2" xfId="472" xr:uid="{D956210D-D3BD-4466-AC36-222C6BB75189}"/>
    <cellStyle name="Normal 5 2 2 2 4" xfId="360" xr:uid="{06370527-4477-4C1C-A4F4-4CE6AE030E10}"/>
    <cellStyle name="Normal 5 2 2 3" xfId="160" xr:uid="{FD7EB9AE-9DA7-4489-BCD4-29ED9DF8129E}"/>
    <cellStyle name="Normal 5 2 2 3 2" xfId="272" xr:uid="{15793A96-52E9-4501-A0D3-248E31A6F4DE}"/>
    <cellStyle name="Normal 5 2 2 3 2 2" xfId="500" xr:uid="{21BCDF7B-D43B-44AC-8147-ECA5A830CF6E}"/>
    <cellStyle name="Normal 5 2 2 3 3" xfId="388" xr:uid="{9BEB2488-6AB9-499F-9349-9463D9A94B6F}"/>
    <cellStyle name="Normal 5 2 2 4" xfId="216" xr:uid="{BCB5E3A3-7E4A-4152-B3F2-4D723AA03139}"/>
    <cellStyle name="Normal 5 2 2 4 2" xfId="444" xr:uid="{A9FC261D-0EAE-4C3B-ACDC-421C8586A270}"/>
    <cellStyle name="Normal 5 2 2 5" xfId="332" xr:uid="{4A99DF34-75B5-46D7-AF95-5B3431DC28A3}"/>
    <cellStyle name="Normal 5 2 3" xfId="118" xr:uid="{9AB3DFFD-0258-4B97-B2E3-F53F4CAF4087}"/>
    <cellStyle name="Normal 5 2 3 2" xfId="174" xr:uid="{52F9B330-4FF4-4CDF-A672-2245AABF1E36}"/>
    <cellStyle name="Normal 5 2 3 2 2" xfId="286" xr:uid="{0D724E84-115F-4C0D-9953-B0C5B3B50A0C}"/>
    <cellStyle name="Normal 5 2 3 2 2 2" xfId="514" xr:uid="{EF510F19-4BF8-4F50-A635-8C52C5DC522C}"/>
    <cellStyle name="Normal 5 2 3 2 3" xfId="402" xr:uid="{EF236BAE-C814-4448-959F-ED0253AD9734}"/>
    <cellStyle name="Normal 5 2 3 3" xfId="230" xr:uid="{4838C7B0-38A9-4FBC-8F46-B2392A51966A}"/>
    <cellStyle name="Normal 5 2 3 3 2" xfId="458" xr:uid="{27BD7DE1-349B-439D-9D49-B36385A73C36}"/>
    <cellStyle name="Normal 5 2 3 4" xfId="346" xr:uid="{4F89DE2A-B0E4-4E54-A097-DD8657EF5DD6}"/>
    <cellStyle name="Normal 5 2 4" xfId="146" xr:uid="{DDD09097-ADE5-41A7-9141-E9CCC2305DEF}"/>
    <cellStyle name="Normal 5 2 4 2" xfId="258" xr:uid="{09EB3F4E-E953-4656-9C47-EEF5E0F0438E}"/>
    <cellStyle name="Normal 5 2 4 2 2" xfId="486" xr:uid="{E5B27C52-F421-4115-B9B5-FD74E9B8669C}"/>
    <cellStyle name="Normal 5 2 4 3" xfId="374" xr:uid="{A0547D71-3FB1-4EE8-AD35-D001CA916579}"/>
    <cellStyle name="Normal 5 2 5" xfId="202" xr:uid="{923B872F-7F07-4964-9CAA-ADA4E44595FF}"/>
    <cellStyle name="Normal 5 2 5 2" xfId="430" xr:uid="{7FAA4BC1-6815-4006-A3CE-833E995E109B}"/>
    <cellStyle name="Normal 5 2 6" xfId="318" xr:uid="{A98CC9F9-6611-4A0C-ADD4-FBFD41FCC27C}"/>
    <cellStyle name="Normal 5 3" xfId="99" xr:uid="{B45F0D03-B9D7-414B-9678-CF84BF016E50}"/>
    <cellStyle name="Normal 5 3 2" xfId="125" xr:uid="{C4FCD55C-5D4D-4F7D-9C2E-9D278DC4EC1C}"/>
    <cellStyle name="Normal 5 3 2 2" xfId="181" xr:uid="{DFFFFC1B-7340-48FF-906F-B0465769D215}"/>
    <cellStyle name="Normal 5 3 2 2 2" xfId="293" xr:uid="{8F41C1BD-C2D7-465F-8FED-3DA99075C82F}"/>
    <cellStyle name="Normal 5 3 2 2 2 2" xfId="521" xr:uid="{AF7D5AEA-F913-4787-80B3-377D45528587}"/>
    <cellStyle name="Normal 5 3 2 2 3" xfId="409" xr:uid="{69F10285-3687-4A0A-8764-C67BB594B632}"/>
    <cellStyle name="Normal 5 3 2 3" xfId="237" xr:uid="{F09018CE-B77E-4145-A4C6-34C8EBEDF89A}"/>
    <cellStyle name="Normal 5 3 2 3 2" xfId="465" xr:uid="{D9C92B3F-74F0-481E-842A-97E8351357B1}"/>
    <cellStyle name="Normal 5 3 2 4" xfId="353" xr:uid="{4C56ED50-776D-40E8-980D-325C875B7CCB}"/>
    <cellStyle name="Normal 5 3 3" xfId="153" xr:uid="{885F1105-3617-4676-B481-D207D7C2CF2B}"/>
    <cellStyle name="Normal 5 3 3 2" xfId="265" xr:uid="{5E6D9026-9A10-48B9-8A09-69406145F8E8}"/>
    <cellStyle name="Normal 5 3 3 2 2" xfId="493" xr:uid="{7BE06DDD-976A-43C2-99F0-A308C6FE570F}"/>
    <cellStyle name="Normal 5 3 3 3" xfId="381" xr:uid="{93890135-1E65-405F-B953-A39B8233FE08}"/>
    <cellStyle name="Normal 5 3 4" xfId="209" xr:uid="{B8AB0323-BA11-44D2-BC27-12E1BD31187E}"/>
    <cellStyle name="Normal 5 3 4 2" xfId="437" xr:uid="{8993E2DC-C196-4F00-93BA-5CDD87DEC52A}"/>
    <cellStyle name="Normal 5 3 5" xfId="325" xr:uid="{16242B69-5A80-47E5-BF48-9502001A792B}"/>
    <cellStyle name="Normal 5 4" xfId="112" xr:uid="{E5C64002-1299-43AE-B53F-69C18FFDF980}"/>
    <cellStyle name="Normal 5 4 2" xfId="167" xr:uid="{10C7A96B-DA43-4762-A4DA-C2E5AA450E93}"/>
    <cellStyle name="Normal 5 4 2 2" xfId="279" xr:uid="{5F430FC0-81B7-48A0-A072-D91CDF3C59F9}"/>
    <cellStyle name="Normal 5 4 2 2 2" xfId="507" xr:uid="{AE8AF567-0CE0-4B8B-8FC3-D74F991F1AC9}"/>
    <cellStyle name="Normal 5 4 2 3" xfId="395" xr:uid="{2EEF2415-A504-490C-83AA-EF74BDD26E30}"/>
    <cellStyle name="Normal 5 4 3" xfId="223" xr:uid="{97FFEB16-94FC-46B3-A44F-BC3BEAA08C1F}"/>
    <cellStyle name="Normal 5 4 3 2" xfId="451" xr:uid="{B9E901F6-DB71-428C-8E70-1578FD15739E}"/>
    <cellStyle name="Normal 5 4 4" xfId="339" xr:uid="{C7101F49-B96C-413A-B812-19ADA5BAC489}"/>
    <cellStyle name="Normal 5 5" xfId="139" xr:uid="{4281A4CB-81E3-437D-85B2-BD0C0C6E5439}"/>
    <cellStyle name="Normal 5 5 2" xfId="251" xr:uid="{2835B47C-900A-4D95-AFAF-2AD30B1D981F}"/>
    <cellStyle name="Normal 5 5 2 2" xfId="479" xr:uid="{FFB98383-1074-40E2-AECA-3B75B1C744C0}"/>
    <cellStyle name="Normal 5 5 3" xfId="367" xr:uid="{0C675D3B-78E3-42B2-9DA4-00D683422AE7}"/>
    <cellStyle name="Normal 5 6" xfId="195" xr:uid="{2409DEDA-11C2-4C62-83FF-B103C9F4EAF0}"/>
    <cellStyle name="Normal 5 6 2" xfId="423" xr:uid="{E9DBB598-4C42-45C1-A8BE-363005AE8585}"/>
    <cellStyle name="Normal 5 7" xfId="306" xr:uid="{9E694A23-7F10-4614-9406-51EE10D0DA6E}"/>
    <cellStyle name="Normal 5 8" xfId="311" xr:uid="{1AC4C52D-6F1E-4A1B-812B-596CB9A079FE}"/>
    <cellStyle name="Normal 6" xfId="64" xr:uid="{6FF2E5F5-3946-4394-B30D-0644C88FD68F}"/>
    <cellStyle name="Normal 6 2" xfId="93" xr:uid="{2A77A474-CA09-4D85-B5F1-CCAE8592EF11}"/>
    <cellStyle name="Normal 6 2 2" xfId="106" xr:uid="{37B7AE35-C66F-4E52-AC5C-D59573D91038}"/>
    <cellStyle name="Normal 6 2 2 2" xfId="133" xr:uid="{BD47D005-86FE-4976-90E8-2C1859898538}"/>
    <cellStyle name="Normal 6 2 2 2 2" xfId="189" xr:uid="{02944222-80BC-4A97-A6B0-D921104C8FA2}"/>
    <cellStyle name="Normal 6 2 2 2 2 2" xfId="301" xr:uid="{5AE00461-07F5-4640-8AFB-B2A0911C64E2}"/>
    <cellStyle name="Normal 6 2 2 2 2 2 2" xfId="529" xr:uid="{69E9E890-7826-4BAB-B9BF-8DE5436501C3}"/>
    <cellStyle name="Normal 6 2 2 2 2 3" xfId="417" xr:uid="{8F69A4E6-0A8D-4816-B9BE-DF583F5D862D}"/>
    <cellStyle name="Normal 6 2 2 2 3" xfId="245" xr:uid="{3736D200-51D6-4903-8F16-8ADC4D95B5D2}"/>
    <cellStyle name="Normal 6 2 2 2 3 2" xfId="473" xr:uid="{2B0B3503-FA92-407C-BA4C-6FE11342F2D1}"/>
    <cellStyle name="Normal 6 2 2 2 4" xfId="361" xr:uid="{389159F7-4585-45E3-B3AA-96C7A13E8756}"/>
    <cellStyle name="Normal 6 2 2 3" xfId="161" xr:uid="{DC4CA25B-C700-48F8-BC9C-50E132B7A8BD}"/>
    <cellStyle name="Normal 6 2 2 3 2" xfId="273" xr:uid="{8278FF06-35A9-4647-9F08-667417B82709}"/>
    <cellStyle name="Normal 6 2 2 3 2 2" xfId="501" xr:uid="{9FBA2DD6-B59B-48D9-9263-1C4825CC2A57}"/>
    <cellStyle name="Normal 6 2 2 3 3" xfId="389" xr:uid="{3F20AEDB-98C5-4AC8-A936-45B048BF2786}"/>
    <cellStyle name="Normal 6 2 2 4" xfId="217" xr:uid="{BFFFACA5-06EF-4506-A5E5-6E68CC89CFDA}"/>
    <cellStyle name="Normal 6 2 2 4 2" xfId="445" xr:uid="{7823EB69-CABF-4193-916D-A2A1353BE347}"/>
    <cellStyle name="Normal 6 2 2 5" xfId="333" xr:uid="{974E8FF4-E6BF-4D36-A122-B6B0DCBBD9CF}"/>
    <cellStyle name="Normal 6 2 3" xfId="119" xr:uid="{00AD952A-C344-4301-9D85-DC3042D61211}"/>
    <cellStyle name="Normal 6 2 3 2" xfId="175" xr:uid="{FACC1305-78DD-4126-BCBF-043E15C316D9}"/>
    <cellStyle name="Normal 6 2 3 2 2" xfId="287" xr:uid="{E30F62A9-EBF9-4AA8-8250-39A21C442EAE}"/>
    <cellStyle name="Normal 6 2 3 2 2 2" xfId="515" xr:uid="{BDC9CBA1-5467-4C8D-89DC-02BCDB4B8F33}"/>
    <cellStyle name="Normal 6 2 3 2 3" xfId="403" xr:uid="{5D8E74C6-3D23-4CA3-98C1-425BC12555EA}"/>
    <cellStyle name="Normal 6 2 3 3" xfId="231" xr:uid="{55D59DE2-DBBB-4BA1-AB71-D413A10D8A20}"/>
    <cellStyle name="Normal 6 2 3 3 2" xfId="459" xr:uid="{88AA1DA4-387E-405A-A929-BA8F4C43E823}"/>
    <cellStyle name="Normal 6 2 3 4" xfId="347" xr:uid="{933DAA4D-1239-43E4-8B11-26A31F935C28}"/>
    <cellStyle name="Normal 6 2 4" xfId="147" xr:uid="{FF1699FD-3AC8-4602-9D35-51CD12DD7D69}"/>
    <cellStyle name="Normal 6 2 4 2" xfId="259" xr:uid="{2EEEB8EB-7160-4486-B242-A92C42928475}"/>
    <cellStyle name="Normal 6 2 4 2 2" xfId="487" xr:uid="{3351164A-01B1-4468-AAC2-7C931D09582F}"/>
    <cellStyle name="Normal 6 2 4 3" xfId="375" xr:uid="{17584437-6CE9-462F-B81F-DE1DFB2B3D75}"/>
    <cellStyle name="Normal 6 2 5" xfId="203" xr:uid="{053EB8C6-3FC4-416D-8BFE-C22992F96288}"/>
    <cellStyle name="Normal 6 2 5 2" xfId="431" xr:uid="{C922E64C-71AA-4353-8DDC-026369E8DA93}"/>
    <cellStyle name="Normal 6 2 6" xfId="319" xr:uid="{6129D33D-5F8F-4E13-BACE-5A2B568D8C22}"/>
    <cellStyle name="Normal 6 3" xfId="100" xr:uid="{5686951F-12CB-4390-894A-261D94102789}"/>
    <cellStyle name="Normal 6 3 2" xfId="126" xr:uid="{80A2A7D4-9BB2-4B7F-9A4E-CD40D11638FE}"/>
    <cellStyle name="Normal 6 3 2 2" xfId="182" xr:uid="{6B126E02-AAFB-4127-AE46-D298D5446EA0}"/>
    <cellStyle name="Normal 6 3 2 2 2" xfId="294" xr:uid="{D22423F7-E83A-4148-ACE2-C3B5D2633888}"/>
    <cellStyle name="Normal 6 3 2 2 2 2" xfId="522" xr:uid="{6321488F-4296-43B8-9BAE-319D7C824E4E}"/>
    <cellStyle name="Normal 6 3 2 2 3" xfId="410" xr:uid="{24D8C3F0-7ED0-454F-883C-9CC0935D2E36}"/>
    <cellStyle name="Normal 6 3 2 3" xfId="238" xr:uid="{360DFF1C-16F0-4C6B-AAB5-76ADBA35B1A9}"/>
    <cellStyle name="Normal 6 3 2 3 2" xfId="466" xr:uid="{50ED1273-1137-4862-811E-570FB4B8A75D}"/>
    <cellStyle name="Normal 6 3 2 4" xfId="354" xr:uid="{496D6FCB-3D94-42AE-8718-E20C28509F61}"/>
    <cellStyle name="Normal 6 3 3" xfId="154" xr:uid="{ED9E4140-6687-4606-B491-F3CF06A3AABD}"/>
    <cellStyle name="Normal 6 3 3 2" xfId="266" xr:uid="{DF84A99C-2A0F-42AE-BEBD-4302C0A5DAA9}"/>
    <cellStyle name="Normal 6 3 3 2 2" xfId="494" xr:uid="{6B432B17-1A3D-472D-B892-F3429F4949D7}"/>
    <cellStyle name="Normal 6 3 3 3" xfId="382" xr:uid="{87F7B24B-5D14-42F6-A70F-551EBC38EE7F}"/>
    <cellStyle name="Normal 6 3 4" xfId="210" xr:uid="{DBC59DC5-59C2-43A3-AE1D-EC354DC0E9DF}"/>
    <cellStyle name="Normal 6 3 4 2" xfId="438" xr:uid="{CF0EDBA8-CD3A-4494-9535-816F12E3820A}"/>
    <cellStyle name="Normal 6 3 5" xfId="326" xr:uid="{7985E6BF-67C3-4A47-A16C-3B8A5C0F745E}"/>
    <cellStyle name="Normal 6 4" xfId="113" xr:uid="{B6F6CDC2-D4B5-46FE-B0A0-4660CF0F7A25}"/>
    <cellStyle name="Normal 6 4 2" xfId="168" xr:uid="{09AEA5EF-0957-49F5-8F01-05585F74AB01}"/>
    <cellStyle name="Normal 6 4 2 2" xfId="280" xr:uid="{5729D178-14DF-482C-AB7A-29AC4FA66FF2}"/>
    <cellStyle name="Normal 6 4 2 2 2" xfId="508" xr:uid="{5BC91D14-555B-41D8-B072-6B24F019B17A}"/>
    <cellStyle name="Normal 6 4 2 3" xfId="396" xr:uid="{BA6DDE1D-971C-45DD-A1FB-214CE3A0EBC1}"/>
    <cellStyle name="Normal 6 4 3" xfId="224" xr:uid="{EA374DCD-D60E-42F7-B8F2-6474D1C272AE}"/>
    <cellStyle name="Normal 6 4 3 2" xfId="452" xr:uid="{FA9177D5-0896-4973-9DDD-A062177C6071}"/>
    <cellStyle name="Normal 6 4 4" xfId="340" xr:uid="{BCA0868D-3E55-4ACD-9E9E-6E00078986A5}"/>
    <cellStyle name="Normal 6 5" xfId="140" xr:uid="{66EE62A3-9CB3-450B-AA64-2E1074DD0E38}"/>
    <cellStyle name="Normal 6 5 2" xfId="252" xr:uid="{3B03DBF4-0DD2-4816-B16D-185882FAC523}"/>
    <cellStyle name="Normal 6 5 2 2" xfId="480" xr:uid="{472AD821-AC73-41A4-A1D9-861DB795C734}"/>
    <cellStyle name="Normal 6 5 3" xfId="368" xr:uid="{5CD2E456-A477-443E-ADDA-EFDB65FBDEBC}"/>
    <cellStyle name="Normal 6 6" xfId="196" xr:uid="{D8278A83-9150-4F9E-8B87-FEE58AA318D0}"/>
    <cellStyle name="Normal 6 6 2" xfId="424" xr:uid="{C99A5FF8-64DE-4127-85AE-848D475541EE}"/>
    <cellStyle name="Normal 6 7" xfId="312" xr:uid="{F06B361E-4DF0-4807-AF28-20A902D8971C}"/>
    <cellStyle name="Normal 7" xfId="7" xr:uid="{F0C869D3-90DE-427C-AD68-1D05B40E3B5A}"/>
    <cellStyle name="Normal 7 2" xfId="94" xr:uid="{301E9E06-3701-42A1-BFFF-7E1746CBE3FB}"/>
    <cellStyle name="Normal 7 2 2" xfId="107" xr:uid="{3C6A799A-1341-4908-9BEE-0BDE6FD59508}"/>
    <cellStyle name="Normal 7 2 2 2" xfId="134" xr:uid="{8ABEC44B-03E8-41FD-B6AD-659F8518E747}"/>
    <cellStyle name="Normal 7 2 2 2 2" xfId="190" xr:uid="{0A0B7B78-C5E1-498A-A251-CC33510820B5}"/>
    <cellStyle name="Normal 7 2 2 2 2 2" xfId="302" xr:uid="{02676443-1E0C-4F03-B53D-ECB050BD6513}"/>
    <cellStyle name="Normal 7 2 2 2 2 2 2" xfId="530" xr:uid="{5E24543B-785A-4E8C-A77C-06952345FB1F}"/>
    <cellStyle name="Normal 7 2 2 2 2 3" xfId="418" xr:uid="{8F2E2E0E-61A4-498F-B064-803EE5D09744}"/>
    <cellStyle name="Normal 7 2 2 2 3" xfId="246" xr:uid="{BE1CDFC3-132A-44E6-86AD-B26FB07ACE96}"/>
    <cellStyle name="Normal 7 2 2 2 3 2" xfId="474" xr:uid="{F61216F0-0DCB-4C68-A41A-C6DBE0F4FF81}"/>
    <cellStyle name="Normal 7 2 2 2 4" xfId="362" xr:uid="{7F31A4EF-C39B-4909-87F1-4F3C3BA65D65}"/>
    <cellStyle name="Normal 7 2 2 3" xfId="162" xr:uid="{11C2BFD4-6445-4146-B0E1-DBF5CF0C3147}"/>
    <cellStyle name="Normal 7 2 2 3 2" xfId="274" xr:uid="{BEEF8584-D226-4530-BD9D-2E1B0A67204B}"/>
    <cellStyle name="Normal 7 2 2 3 2 2" xfId="502" xr:uid="{5AC66E67-1885-4E11-8102-4D33BDD9E9F9}"/>
    <cellStyle name="Normal 7 2 2 3 3" xfId="390" xr:uid="{B17BB65B-9048-40AA-985B-2CA068AA63C7}"/>
    <cellStyle name="Normal 7 2 2 4" xfId="218" xr:uid="{D43B1B33-56FD-4AF9-A824-817B40CCAD8C}"/>
    <cellStyle name="Normal 7 2 2 4 2" xfId="446" xr:uid="{34881649-528F-403D-80F7-45CAA0926912}"/>
    <cellStyle name="Normal 7 2 2 5" xfId="334" xr:uid="{83750BDB-9C41-437B-A686-6665C65E1BC2}"/>
    <cellStyle name="Normal 7 2 3" xfId="120" xr:uid="{5E2A9388-3C24-49B5-8217-EFB7D1A099AB}"/>
    <cellStyle name="Normal 7 2 3 2" xfId="176" xr:uid="{B3B6E3A4-11BB-4F94-9765-136AE5B1291D}"/>
    <cellStyle name="Normal 7 2 3 2 2" xfId="288" xr:uid="{B31A6780-EB45-4D39-B4F8-5F2E9B58BB48}"/>
    <cellStyle name="Normal 7 2 3 2 2 2" xfId="516" xr:uid="{5BA00A1E-A473-4984-8C39-15B4D84F8712}"/>
    <cellStyle name="Normal 7 2 3 2 3" xfId="404" xr:uid="{DDDC914E-8CAD-43F9-B347-3206C0EDB8A3}"/>
    <cellStyle name="Normal 7 2 3 3" xfId="232" xr:uid="{DD7C4B2C-DF5F-47DF-94F2-C28ADC4E862A}"/>
    <cellStyle name="Normal 7 2 3 3 2" xfId="460" xr:uid="{8F2B2064-C8E2-4F2F-92AA-C544432AC310}"/>
    <cellStyle name="Normal 7 2 3 4" xfId="348" xr:uid="{7D707A9E-D233-4AEB-A63A-4A88B6F6F322}"/>
    <cellStyle name="Normal 7 2 4" xfId="148" xr:uid="{DF69D32F-5314-4370-9962-19B0F5BC96E6}"/>
    <cellStyle name="Normal 7 2 4 2" xfId="260" xr:uid="{9379AC98-B468-46F0-B3F0-25DBE76BF504}"/>
    <cellStyle name="Normal 7 2 4 2 2" xfId="488" xr:uid="{A919E2F2-80F0-440D-A810-19180DD326A9}"/>
    <cellStyle name="Normal 7 2 4 3" xfId="376" xr:uid="{05F93914-411F-40ED-919B-7F85B49CCB46}"/>
    <cellStyle name="Normal 7 2 5" xfId="204" xr:uid="{967701DF-910F-41A5-AF02-0A5F23FBCBA8}"/>
    <cellStyle name="Normal 7 2 5 2" xfId="432" xr:uid="{B80E87CB-1FDD-40DE-9002-4A3F3D90BC21}"/>
    <cellStyle name="Normal 7 2 6" xfId="320" xr:uid="{C107BE34-C33B-4683-887D-A3C5ED0524E4}"/>
    <cellStyle name="Normal 7 3" xfId="68" xr:uid="{AB577498-F4C6-4E6B-B199-5624B7ACB6AB}"/>
    <cellStyle name="Normal 7 3 2" xfId="127" xr:uid="{EBF88AD6-8596-4430-82AC-06EEDFFCC15A}"/>
    <cellStyle name="Normal 7 3 2 2" xfId="183" xr:uid="{C752789B-4B59-4D87-89EF-B1D81FCED0F5}"/>
    <cellStyle name="Normal 7 3 2 2 2" xfId="295" xr:uid="{22E6D00C-1774-42B8-AA37-B0608701244E}"/>
    <cellStyle name="Normal 7 3 2 2 2 2" xfId="523" xr:uid="{3B5E2FB8-A1EE-4BD4-B80B-025480C223DE}"/>
    <cellStyle name="Normal 7 3 2 2 3" xfId="411" xr:uid="{E98F08CB-7A12-4E39-9ECF-BB316B54CFAA}"/>
    <cellStyle name="Normal 7 3 2 3" xfId="239" xr:uid="{71E0D79F-03A3-44A7-9A56-46D231293CA4}"/>
    <cellStyle name="Normal 7 3 2 3 2" xfId="467" xr:uid="{131DB70D-DA07-4940-8434-287F27E16808}"/>
    <cellStyle name="Normal 7 3 2 4" xfId="355" xr:uid="{934079DE-8ECB-4018-8EAA-D1DF4BB97D1D}"/>
    <cellStyle name="Normal 7 3 3" xfId="155" xr:uid="{BBA76F68-E58A-4400-86EE-3FC68D15B361}"/>
    <cellStyle name="Normal 7 3 3 2" xfId="267" xr:uid="{31BC7D3F-9945-4A55-9999-C783F029C526}"/>
    <cellStyle name="Normal 7 3 3 2 2" xfId="495" xr:uid="{31521030-BBBB-4393-85F7-57FB19F4C167}"/>
    <cellStyle name="Normal 7 3 3 3" xfId="383" xr:uid="{1C749451-89E8-417D-8472-5E06A062ED7B}"/>
    <cellStyle name="Normal 7 3 4" xfId="211" xr:uid="{001638FB-DD9E-461E-A831-28093E6438E9}"/>
    <cellStyle name="Normal 7 3 4 2" xfId="439" xr:uid="{52F24580-7B65-4E7A-B4B3-C5AD2D91A88E}"/>
    <cellStyle name="Normal 7 3 5" xfId="327" xr:uid="{5AD255AB-53B1-48A2-887A-BF617122E30D}"/>
    <cellStyle name="Normal 7 4" xfId="69" xr:uid="{1E0C490D-E5BE-4B59-BEBD-6581AF34F8B8}"/>
    <cellStyle name="Normal 7 4 2" xfId="169" xr:uid="{86CBB049-89C2-408E-9D45-B42755E36A4F}"/>
    <cellStyle name="Normal 7 4 2 2" xfId="281" xr:uid="{9674A2FE-AEC3-4050-A8D4-A070107F07ED}"/>
    <cellStyle name="Normal 7 4 2 2 2" xfId="509" xr:uid="{6806443F-EA76-4313-975B-78836096A236}"/>
    <cellStyle name="Normal 7 4 2 3" xfId="397" xr:uid="{76DB5C1E-FB3C-4DB8-A3AC-08969F25E54F}"/>
    <cellStyle name="Normal 7 4 3" xfId="225" xr:uid="{C8F7D8E1-F037-4B0B-A0D3-B0CC63D51F8F}"/>
    <cellStyle name="Normal 7 4 3 2" xfId="453" xr:uid="{E2E681B1-E65A-4F9A-9ADD-706D60D912D4}"/>
    <cellStyle name="Normal 7 4 4" xfId="341" xr:uid="{8514DFB6-7A75-4639-8282-8F1B07825238}"/>
    <cellStyle name="Normal 7 5" xfId="141" xr:uid="{816B6772-55A1-4BAF-87E6-BDE21FEDC69D}"/>
    <cellStyle name="Normal 7 5 2" xfId="253" xr:uid="{3C4FD137-7683-4839-A67D-5FCAAD0F5F00}"/>
    <cellStyle name="Normal 7 5 2 2" xfId="481" xr:uid="{7836C6FC-3DF3-4CD2-93D8-44D85425ABB5}"/>
    <cellStyle name="Normal 7 5 3" xfId="369" xr:uid="{EF836004-3688-450A-95D8-2E0A73C0720B}"/>
    <cellStyle name="Normal 7 6" xfId="197" xr:uid="{71AA0B3B-05DD-44AC-906F-C396A8EF8759}"/>
    <cellStyle name="Normal 7 6 2" xfId="425" xr:uid="{FF523E9E-2419-40CD-90CE-D2E8851F7A9F}"/>
    <cellStyle name="Normal 7 7" xfId="304" xr:uid="{4625C75F-FD5A-49D6-8075-CD72F1FDA799}"/>
    <cellStyle name="Normal 7 8" xfId="313" xr:uid="{EA850E5A-875E-4999-B2F9-391693924696}"/>
    <cellStyle name="Normal 8" xfId="8" xr:uid="{8C585BFA-9AD9-4C3A-94A0-0C5F6B292306}"/>
    <cellStyle name="Normal 8 2" xfId="303" xr:uid="{AD6CB42F-D8FD-439B-9CE2-2C3E977CD94C}"/>
    <cellStyle name="Normal 9" xfId="65" xr:uid="{9D0D9274-8B09-4EAF-B8E4-5BE348D561A0}"/>
    <cellStyle name="Normal 9 2" xfId="305" xr:uid="{7608511A-7D9B-47C4-9185-97B8E541A6A1}"/>
    <cellStyle name="Percent 2" xfId="59" xr:uid="{2FA0A3D3-1B31-456E-A2E9-DFACC2BCFB97}"/>
    <cellStyle name="Percent 3" xfId="60" xr:uid="{F1005C2B-9452-4C04-A67A-332E9E241695}"/>
    <cellStyle name="Percent 4" xfId="61" xr:uid="{59FB61DE-F496-43EF-B863-CFA65BA9915D}"/>
    <cellStyle name="Percent 5" xfId="62" xr:uid="{9F458097-5145-46B2-9B42-A3C9E4E1199E}"/>
    <cellStyle name="Percent 5 2" xfId="92" xr:uid="{6E1BC8F3-683C-4663-B26D-9579CDE3D0B6}"/>
    <cellStyle name="Pourcentage 2" xfId="63" xr:uid="{BC6205EC-1D07-4FB8-81B1-8043B75B633F}"/>
  </cellStyles>
  <dxfs count="70"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Calibri"/>
        <family val="2"/>
        <scheme val="none"/>
      </font>
      <numFmt numFmtId="22" formatCode="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numFmt numFmtId="0" formatCode="General"/>
    </dxf>
    <dxf>
      <numFmt numFmtId="0" formatCode="General"/>
      <fill>
        <patternFill patternType="solid">
          <fgColor indexed="64"/>
          <bgColor rgb="FF00B050"/>
        </patternFill>
      </fill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7030A0"/>
        </patternFill>
      </fill>
      <alignment horizontal="left" vertical="center" textRotation="0" wrapText="1" indent="0" justifyLastLine="0" shrinkToFit="0" readingOrder="0"/>
      <protection locked="1" hidden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outline val="0"/>
        <shadow val="0"/>
        <vertAlign val="baseline"/>
        <sz val="16"/>
        <color theme="0"/>
        <name val="Calibri"/>
        <family val="2"/>
        <scheme val="minor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5" tint="0.39997558519241921"/>
        </left>
        <right/>
        <top style="thin">
          <color theme="5" tint="0.39997558519241921"/>
        </top>
        <bottom/>
        <vertical/>
        <horizontal/>
      </border>
      <protection locked="1" hidden="0"/>
    </dxf>
    <dxf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0" formatCode="General"/>
      <alignment horizontal="left" vertical="center" textRotation="0" wrapText="0" indent="0" justifyLastLine="0" shrinkToFit="0" readingOrder="1"/>
    </dxf>
    <dxf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1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178" formatCode="_(&quot;$&quot;* #,##0_);_(&quot;$&quot;* \(#,##0\);_(&quot;$&quot;* &quot;-&quot;??_);_(@_)"/>
      <alignment horizontal="left" vertical="center" textRotation="0" wrapText="0" indent="0" justifyLastLine="0" shrinkToFit="0" readingOrder="0"/>
    </dxf>
    <dxf>
      <numFmt numFmtId="176" formatCode="m/d/yyyy"/>
      <alignment horizontal="left" vertical="center" textRotation="0" wrapText="0" indent="0" justifyLastLine="0" shrinkToFit="0" readingOrder="0"/>
    </dxf>
    <dxf>
      <numFmt numFmtId="174" formatCode="[$-F800]dddd\,\ mmmm\ dd\,\ yyyy"/>
    </dxf>
    <dxf>
      <numFmt numFmtId="174" formatCode="[$-F800]dddd\,\ mmmm\ dd\,\ yyyy"/>
    </dxf>
    <dxf>
      <numFmt numFmtId="174" formatCode="[$-F800]dddd\,\ mmmm\ dd\,\ yyyy"/>
    </dxf>
    <dxf>
      <numFmt numFmtId="174" formatCode="[$-F800]dddd\,\ mmmm\ dd\,\ yyyy"/>
    </dxf>
    <dxf>
      <numFmt numFmtId="174" formatCode="[$-F800]dddd\,\ mmmm\ dd\,\ yyyy"/>
    </dxf>
    <dxf>
      <numFmt numFmtId="177" formatCode="[$-409]h:mm:ss\ AM/PM"/>
    </dxf>
    <dxf>
      <numFmt numFmtId="177" formatCode="[$-409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indent="0" justifyLastLine="0" shrinkToFit="0" readingOrder="0"/>
    </dxf>
    <dxf>
      <fill>
        <patternFill patternType="gray0625">
          <fgColor auto="1"/>
          <bgColor theme="5" tint="0.79992065187536243"/>
        </patternFill>
      </fill>
    </dxf>
    <dxf>
      <font>
        <b/>
        <i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DFDA00"/>
      <color rgb="FFC9A6E4"/>
      <color rgb="FFA162D0"/>
      <color rgb="FFFF5D5D"/>
      <color rgb="FFFFC9C9"/>
      <color rgb="FFFFCDCD"/>
      <color rgb="FFFFBDBD"/>
      <color rgb="FF0077D0"/>
      <color rgb="FFFF6161"/>
      <color rgb="FFEA25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Mail!A1"/><Relationship Id="rId2" Type="http://schemas.openxmlformats.org/officeDocument/2006/relationships/hyperlink" Target="#CopyFiles!A1"/><Relationship Id="rId1" Type="http://schemas.openxmlformats.org/officeDocument/2006/relationships/hyperlink" Target="#Rename!A1"/><Relationship Id="rId6" Type="http://schemas.openxmlformats.org/officeDocument/2006/relationships/image" Target="../media/image1.png"/><Relationship Id="rId5" Type="http://schemas.openxmlformats.org/officeDocument/2006/relationships/hyperlink" Target="#Data!A1"/><Relationship Id="rId4" Type="http://schemas.openxmlformats.org/officeDocument/2006/relationships/hyperlink" Target="#Whatsapp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3596141</xdr:colOff>
      <xdr:row>0</xdr:row>
      <xdr:rowOff>0</xdr:rowOff>
    </xdr:from>
    <xdr:to>
      <xdr:col>1</xdr:col>
      <xdr:colOff>15240</xdr:colOff>
      <xdr:row>1</xdr:row>
      <xdr:rowOff>172222</xdr:rowOff>
    </xdr:to>
    <xdr:sp macro="[0]!UnprotectAllWorksheets" textlink="">
      <xdr:nvSpPr>
        <xdr:cNvPr id="17" name="Su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596141" y="0"/>
          <a:ext cx="503419" cy="484642"/>
        </a:xfrm>
        <a:prstGeom prst="sun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7933</xdr:rowOff>
    </xdr:from>
    <xdr:to>
      <xdr:col>0</xdr:col>
      <xdr:colOff>430389</xdr:colOff>
      <xdr:row>1</xdr:row>
      <xdr:rowOff>134054</xdr:rowOff>
    </xdr:to>
    <xdr:sp macro="[0]!ProtectAllWorksheets" textlink="">
      <xdr:nvSpPr>
        <xdr:cNvPr id="18" name="Sun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7933"/>
          <a:ext cx="430389" cy="351899"/>
        </a:xfrm>
        <a:prstGeom prst="sun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405104</xdr:colOff>
      <xdr:row>6</xdr:row>
      <xdr:rowOff>137160</xdr:rowOff>
    </xdr:from>
    <xdr:to>
      <xdr:col>13</xdr:col>
      <xdr:colOff>46898</xdr:colOff>
      <xdr:row>9</xdr:row>
      <xdr:rowOff>60960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80324FD-82E3-0DB7-96B2-5D797A3BAA3F}"/>
            </a:ext>
          </a:extLst>
        </xdr:cNvPr>
        <xdr:cNvGrpSpPr/>
      </xdr:nvGrpSpPr>
      <xdr:grpSpPr>
        <a:xfrm>
          <a:off x="4489424" y="2011680"/>
          <a:ext cx="4549074" cy="861060"/>
          <a:chOff x="4725644" y="266700"/>
          <a:chExt cx="4549074" cy="861060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6F10000-8AB0-07FD-289B-43C7C56E2D26}"/>
              </a:ext>
            </a:extLst>
          </xdr:cNvPr>
          <xdr:cNvGrpSpPr/>
        </xdr:nvGrpSpPr>
        <xdr:grpSpPr>
          <a:xfrm>
            <a:off x="7942065" y="349622"/>
            <a:ext cx="1332653" cy="707087"/>
            <a:chOff x="7157205" y="67682"/>
            <a:chExt cx="1332653" cy="539447"/>
          </a:xfrm>
        </xdr:grpSpPr>
        <xdr:sp macro="" textlink="">
          <xdr:nvSpPr>
            <xdr:cNvPr id="20" name="Rectangle: Rounded Corners 19">
              <a:hlinkClick xmlns:r="http://schemas.openxmlformats.org/officeDocument/2006/relationships" r:id="rId1" tooltip="Rename files in any source folder"/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7157205" y="67682"/>
              <a:ext cx="1325033" cy="231307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/>
                <a:t>Rename</a:t>
              </a:r>
            </a:p>
          </xdr:txBody>
        </xdr:sp>
        <xdr:sp macro="" textlink="">
          <xdr:nvSpPr>
            <xdr:cNvPr id="21" name="Rectangle: Rounded Corners 20">
              <a:hlinkClick xmlns:r="http://schemas.openxmlformats.org/officeDocument/2006/relationships" r:id="rId2" tooltip="Archive sheet _ Use it to distrbute group of files to any destination folders"/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7164825" y="375822"/>
              <a:ext cx="1325033" cy="231307"/>
            </a:xfrm>
            <a:prstGeom prst="round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/>
                <a:t>Archiving Files</a:t>
              </a:r>
            </a:p>
          </xdr:txBody>
        </xdr:sp>
      </xdr:grpSp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46C5A8F1-DB0E-A684-2461-6639F5634AC3}"/>
              </a:ext>
            </a:extLst>
          </xdr:cNvPr>
          <xdr:cNvGrpSpPr/>
        </xdr:nvGrpSpPr>
        <xdr:grpSpPr>
          <a:xfrm>
            <a:off x="6335073" y="352365"/>
            <a:ext cx="1148381" cy="683669"/>
            <a:chOff x="3972873" y="1175325"/>
            <a:chExt cx="1148381" cy="521076"/>
          </a:xfrm>
        </xdr:grpSpPr>
        <xdr:sp macro="" textlink="">
          <xdr:nvSpPr>
            <xdr:cNvPr id="4" name="Rectangle: Rounded Corners 3">
              <a:hlinkClick xmlns:r="http://schemas.openxmlformats.org/officeDocument/2006/relationships" r:id="rId3" tooltip="Contracts sheet"/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3972873" y="1465287"/>
              <a:ext cx="1130538" cy="231114"/>
            </a:xfrm>
            <a:prstGeom prst="roundRect">
              <a:avLst/>
            </a:prstGeom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Email</a:t>
              </a:r>
            </a:p>
          </xdr:txBody>
        </xdr:sp>
        <xdr:sp macro="" textlink="">
          <xdr:nvSpPr>
            <xdr:cNvPr id="6" name="Rectangle: Rounded Corners 5">
              <a:hlinkClick xmlns:r="http://schemas.openxmlformats.org/officeDocument/2006/relationships" r:id="rId4" tooltip="Payslips sheet _ Use it to print salary slips to all staff"/>
              <a:extLst>
                <a:ext uri="{FF2B5EF4-FFF2-40B4-BE49-F238E27FC236}">
                  <a16:creationId xmlns:a16="http://schemas.microsoft.com/office/drawing/2014/main" id="{18130927-045B-49C5-8794-0FF0C0EC9E67}"/>
                </a:ext>
              </a:extLst>
            </xdr:cNvPr>
            <xdr:cNvSpPr/>
          </xdr:nvSpPr>
          <xdr:spPr>
            <a:xfrm>
              <a:off x="3990716" y="1175325"/>
              <a:ext cx="1130538" cy="231114"/>
            </a:xfrm>
            <a:prstGeom prst="roundRect">
              <a:avLst/>
            </a:prstGeom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WhatsApp</a:t>
              </a:r>
            </a:p>
          </xdr:txBody>
        </xdr:sp>
      </xdr:grpSp>
      <xdr:sp macro="" textlink="">
        <xdr:nvSpPr>
          <xdr:cNvPr id="2" name="Rectangle: Rounded Corners 1">
            <a:hlinkClick xmlns:r="http://schemas.openxmlformats.org/officeDocument/2006/relationships" r:id="rId5" tooltip="Data sheet of Employees"/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4725644" y="266700"/>
            <a:ext cx="1210336" cy="861060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baseline="0"/>
              <a:t>DATA</a:t>
            </a:r>
            <a:endParaRPr lang="en-US" sz="1100" b="1"/>
          </a:p>
        </xdr:txBody>
      </xdr:sp>
    </xdr:grpSp>
    <xdr:clientData/>
  </xdr:twoCellAnchor>
  <xdr:twoCellAnchor editAs="oneCell">
    <xdr:from>
      <xdr:col>14</xdr:col>
      <xdr:colOff>22860</xdr:colOff>
      <xdr:row>1</xdr:row>
      <xdr:rowOff>16544</xdr:rowOff>
    </xdr:from>
    <xdr:to>
      <xdr:col>23</xdr:col>
      <xdr:colOff>99060</xdr:colOff>
      <xdr:row>4</xdr:row>
      <xdr:rowOff>289560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7DEC9A2-2BD8-F6F5-D45C-E7346CDB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6880" y="328964"/>
          <a:ext cx="1310640" cy="12102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22860</xdr:rowOff>
    </xdr:from>
    <xdr:to>
      <xdr:col>2</xdr:col>
      <xdr:colOff>929640</xdr:colOff>
      <xdr:row>5</xdr:row>
      <xdr:rowOff>27757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51AC096-5693-1DB9-20D5-898CC6AC23C5}"/>
            </a:ext>
          </a:extLst>
        </xdr:cNvPr>
        <xdr:cNvGrpSpPr/>
      </xdr:nvGrpSpPr>
      <xdr:grpSpPr>
        <a:xfrm>
          <a:off x="251460" y="22860"/>
          <a:ext cx="2026920" cy="492577"/>
          <a:chOff x="838200" y="0"/>
          <a:chExt cx="1631950" cy="431800"/>
        </a:xfrm>
      </xdr:grpSpPr>
      <xdr:sp macro="" textlink="">
        <xdr:nvSpPr>
          <xdr:cNvPr id="7" name="Arrow: Right 6">
            <a:hlinkClick xmlns:r="http://schemas.openxmlformats.org/officeDocument/2006/relationships" r:id="rId1" tooltip="Back to INDEX"/>
            <a:extLst>
              <a:ext uri="{FF2B5EF4-FFF2-40B4-BE49-F238E27FC236}">
                <a16:creationId xmlns:a16="http://schemas.microsoft.com/office/drawing/2014/main" id="{70E9AE77-E569-2CBC-7C14-302D6DC37367}"/>
              </a:ext>
            </a:extLst>
          </xdr:cNvPr>
          <xdr:cNvSpPr/>
        </xdr:nvSpPr>
        <xdr:spPr>
          <a:xfrm flipH="1">
            <a:off x="838200" y="0"/>
            <a:ext cx="558800" cy="431800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 u="sng">
                <a:solidFill>
                  <a:srgbClr val="FFFF00"/>
                </a:solidFill>
              </a:rPr>
              <a:t>INDEX</a:t>
            </a:r>
          </a:p>
        </xdr:txBody>
      </xdr:sp>
      <xdr:sp macro="[0]!Sheets_Unprotect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408B4DF-50A9-7501-6EDB-937D258BCAED}"/>
              </a:ext>
            </a:extLst>
          </xdr:cNvPr>
          <xdr:cNvSpPr/>
        </xdr:nvSpPr>
        <xdr:spPr>
          <a:xfrm>
            <a:off x="1492250" y="107951"/>
            <a:ext cx="488950" cy="215899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Unp</a:t>
            </a:r>
          </a:p>
        </xdr:txBody>
      </xdr:sp>
      <xdr:sp macro="[0]!Sheet_Protec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1121CD1-AB6F-DA66-E6F3-7D7CE8F9EB92}"/>
              </a:ext>
            </a:extLst>
          </xdr:cNvPr>
          <xdr:cNvSpPr/>
        </xdr:nvSpPr>
        <xdr:spPr>
          <a:xfrm>
            <a:off x="2028832" y="107950"/>
            <a:ext cx="441318" cy="215900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Pro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167641</xdr:rowOff>
    </xdr:from>
    <xdr:to>
      <xdr:col>1</xdr:col>
      <xdr:colOff>845821</xdr:colOff>
      <xdr:row>2</xdr:row>
      <xdr:rowOff>7621</xdr:rowOff>
    </xdr:to>
    <xdr:sp macro="[0]!Brow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" y="167641"/>
          <a:ext cx="990600" cy="23622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ctr"/>
        <a:lstStyle/>
        <a:p>
          <a:pPr algn="ctr"/>
          <a:r>
            <a:rPr lang="en-US" sz="1200" b="1"/>
            <a:t>Browse</a:t>
          </a:r>
        </a:p>
      </xdr:txBody>
    </xdr:sp>
    <xdr:clientData/>
  </xdr:twoCellAnchor>
  <xdr:twoCellAnchor>
    <xdr:from>
      <xdr:col>0</xdr:col>
      <xdr:colOff>0</xdr:colOff>
      <xdr:row>3</xdr:row>
      <xdr:rowOff>5081</xdr:rowOff>
    </xdr:from>
    <xdr:to>
      <xdr:col>1</xdr:col>
      <xdr:colOff>830580</xdr:colOff>
      <xdr:row>5</xdr:row>
      <xdr:rowOff>12327</xdr:rowOff>
    </xdr:to>
    <xdr:sp macro="[0]!Rename_Fil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591821"/>
          <a:ext cx="975360" cy="289186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tx2">
                <a:shade val="30000"/>
                <a:satMod val="115000"/>
              </a:schemeClr>
            </a:gs>
            <a:gs pos="50000">
              <a:schemeClr val="tx2">
                <a:shade val="67500"/>
                <a:satMod val="115000"/>
              </a:schemeClr>
            </a:gs>
            <a:gs pos="100000">
              <a:schemeClr val="tx2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ctr"/>
        <a:lstStyle/>
        <a:p>
          <a:pPr algn="ctr"/>
          <a:r>
            <a:rPr lang="en-US" sz="1200" b="1"/>
            <a:t>Rename</a:t>
          </a:r>
        </a:p>
      </xdr:txBody>
    </xdr:sp>
    <xdr:clientData/>
  </xdr:twoCellAnchor>
  <xdr:twoCellAnchor>
    <xdr:from>
      <xdr:col>0</xdr:col>
      <xdr:colOff>53340</xdr:colOff>
      <xdr:row>5</xdr:row>
      <xdr:rowOff>76792</xdr:rowOff>
    </xdr:from>
    <xdr:to>
      <xdr:col>1</xdr:col>
      <xdr:colOff>784860</xdr:colOff>
      <xdr:row>8</xdr:row>
      <xdr:rowOff>38100</xdr:rowOff>
    </xdr:to>
    <xdr:sp macro="[0]!Reset_Renam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53340" y="922612"/>
          <a:ext cx="891540" cy="258488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1">
                <a:lumMod val="75000"/>
                <a:shade val="30000"/>
                <a:satMod val="115000"/>
              </a:schemeClr>
            </a:gs>
            <a:gs pos="50000">
              <a:schemeClr val="accent1">
                <a:lumMod val="75000"/>
                <a:shade val="67500"/>
                <a:satMod val="115000"/>
              </a:schemeClr>
            </a:gs>
            <a:gs pos="100000">
              <a:schemeClr val="accent1">
                <a:lumMod val="75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ctr"/>
        <a:lstStyle/>
        <a:p>
          <a:pPr algn="ctr"/>
          <a:r>
            <a:rPr lang="en-US" sz="1200" b="1"/>
            <a:t>Reset</a:t>
          </a:r>
        </a:p>
      </xdr:txBody>
    </xdr:sp>
    <xdr:clientData/>
  </xdr:twoCellAnchor>
  <xdr:twoCellAnchor>
    <xdr:from>
      <xdr:col>4</xdr:col>
      <xdr:colOff>519430</xdr:colOff>
      <xdr:row>3</xdr:row>
      <xdr:rowOff>2540</xdr:rowOff>
    </xdr:from>
    <xdr:to>
      <xdr:col>6</xdr:col>
      <xdr:colOff>858053</xdr:colOff>
      <xdr:row>8</xdr:row>
      <xdr:rowOff>97790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9E183EB-5C57-4D49-A66E-788337619A3F}"/>
            </a:ext>
          </a:extLst>
        </xdr:cNvPr>
        <xdr:cNvGrpSpPr/>
      </xdr:nvGrpSpPr>
      <xdr:grpSpPr>
        <a:xfrm>
          <a:off x="6470650" y="589280"/>
          <a:ext cx="2053123" cy="681990"/>
          <a:chOff x="838200" y="0"/>
          <a:chExt cx="1631950" cy="431800"/>
        </a:xfrm>
      </xdr:grpSpPr>
      <xdr:sp macro="" textlink="">
        <xdr:nvSpPr>
          <xdr:cNvPr id="14" name="Arrow: Right 13">
            <a:hlinkClick xmlns:r="http://schemas.openxmlformats.org/officeDocument/2006/relationships" r:id="rId1" tooltip="Back to INDEX"/>
            <a:extLst>
              <a:ext uri="{FF2B5EF4-FFF2-40B4-BE49-F238E27FC236}">
                <a16:creationId xmlns:a16="http://schemas.microsoft.com/office/drawing/2014/main" id="{C8B262DF-226B-4B3B-EA26-C57ED86B6EF9}"/>
              </a:ext>
            </a:extLst>
          </xdr:cNvPr>
          <xdr:cNvSpPr/>
        </xdr:nvSpPr>
        <xdr:spPr>
          <a:xfrm flipH="1">
            <a:off x="838200" y="0"/>
            <a:ext cx="558800" cy="431800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 u="sng">
                <a:solidFill>
                  <a:srgbClr val="FFFF00"/>
                </a:solidFill>
              </a:rPr>
              <a:t>INDEX</a:t>
            </a:r>
          </a:p>
        </xdr:txBody>
      </xdr:sp>
      <xdr:sp macro="[0]!Sheets_Unprotect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685AE77F-E2F0-5A04-9BC4-7994EEA6D3CA}"/>
              </a:ext>
            </a:extLst>
          </xdr:cNvPr>
          <xdr:cNvSpPr/>
        </xdr:nvSpPr>
        <xdr:spPr>
          <a:xfrm>
            <a:off x="1492250" y="107951"/>
            <a:ext cx="488950" cy="215899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Unp</a:t>
            </a:r>
          </a:p>
        </xdr:txBody>
      </xdr:sp>
      <xdr:sp macro="[0]!Sheet_Protect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E31C1018-FF51-232C-A2EE-71AAD27ECA3F}"/>
              </a:ext>
            </a:extLst>
          </xdr:cNvPr>
          <xdr:cNvSpPr/>
        </xdr:nvSpPr>
        <xdr:spPr>
          <a:xfrm>
            <a:off x="2028832" y="107950"/>
            <a:ext cx="441318" cy="215900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Pro</a:t>
            </a:r>
          </a:p>
        </xdr:txBody>
      </xdr:sp>
    </xdr:grpSp>
    <xdr:clientData/>
  </xdr:twoCellAnchor>
  <xdr:twoCellAnchor>
    <xdr:from>
      <xdr:col>1</xdr:col>
      <xdr:colOff>114300</xdr:colOff>
      <xdr:row>0</xdr:row>
      <xdr:rowOff>0</xdr:rowOff>
    </xdr:from>
    <xdr:to>
      <xdr:col>1</xdr:col>
      <xdr:colOff>685800</xdr:colOff>
      <xdr:row>0</xdr:row>
      <xdr:rowOff>152400</xdr:rowOff>
    </xdr:to>
    <xdr:sp macro="[0]!Sheets_Unprotec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0998D8C-7C70-4D0C-9E33-76DAE2DE391E}"/>
            </a:ext>
          </a:extLst>
        </xdr:cNvPr>
        <xdr:cNvSpPr/>
      </xdr:nvSpPr>
      <xdr:spPr>
        <a:xfrm>
          <a:off x="274320" y="0"/>
          <a:ext cx="571500" cy="1524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Unp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2831512</xdr:colOff>
      <xdr:row>0</xdr:row>
      <xdr:rowOff>0</xdr:rowOff>
    </xdr:from>
    <xdr:to>
      <xdr:col>1</xdr:col>
      <xdr:colOff>2776538</xdr:colOff>
      <xdr:row>9</xdr:row>
      <xdr:rowOff>173263</xdr:rowOff>
    </xdr:to>
    <xdr:sp macro="[0]!Archive_CopyFil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831512" y="0"/>
          <a:ext cx="2786651" cy="387576"/>
        </a:xfrm>
        <a:prstGeom prst="rightArrow">
          <a:avLst>
            <a:gd name="adj1" fmla="val 55565"/>
            <a:gd name="adj2" fmla="val 133685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 &gt;&gt;&gt;&gt;  Copy  &gt;&gt;&gt;&gt;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1631950</xdr:colOff>
      <xdr:row>9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44CAE1C-7049-414A-8875-D5A50664787F}"/>
            </a:ext>
          </a:extLst>
        </xdr:cNvPr>
        <xdr:cNvGrpSpPr/>
      </xdr:nvGrpSpPr>
      <xdr:grpSpPr>
        <a:xfrm>
          <a:off x="0" y="0"/>
          <a:ext cx="1631950" cy="330200"/>
          <a:chOff x="838200" y="0"/>
          <a:chExt cx="1631950" cy="431800"/>
        </a:xfrm>
      </xdr:grpSpPr>
      <xdr:sp macro="" textlink="">
        <xdr:nvSpPr>
          <xdr:cNvPr id="7" name="Arrow: Right 6">
            <a:hlinkClick xmlns:r="http://schemas.openxmlformats.org/officeDocument/2006/relationships" r:id="rId1" tooltip="Back to INDEX"/>
            <a:extLst>
              <a:ext uri="{FF2B5EF4-FFF2-40B4-BE49-F238E27FC236}">
                <a16:creationId xmlns:a16="http://schemas.microsoft.com/office/drawing/2014/main" id="{5DAFE1C7-61C1-E9A8-3DB1-18C381FCA2FE}"/>
              </a:ext>
            </a:extLst>
          </xdr:cNvPr>
          <xdr:cNvSpPr/>
        </xdr:nvSpPr>
        <xdr:spPr>
          <a:xfrm flipH="1">
            <a:off x="838200" y="0"/>
            <a:ext cx="558800" cy="431800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 u="sng">
                <a:solidFill>
                  <a:srgbClr val="FFFF00"/>
                </a:solidFill>
              </a:rPr>
              <a:t>INDEX</a:t>
            </a:r>
          </a:p>
        </xdr:txBody>
      </xdr:sp>
      <xdr:sp macro="[0]!Sheets_Unprotec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99827EE-FBDA-68BE-AC3D-1884C9DA800D}"/>
              </a:ext>
            </a:extLst>
          </xdr:cNvPr>
          <xdr:cNvSpPr/>
        </xdr:nvSpPr>
        <xdr:spPr>
          <a:xfrm>
            <a:off x="1492250" y="107951"/>
            <a:ext cx="488950" cy="215899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Unp</a:t>
            </a:r>
          </a:p>
        </xdr:txBody>
      </xdr:sp>
      <xdr:sp macro="[0]!Sheet_Protect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EEEE946B-95B7-8529-AE2E-FC2C8FABD517}"/>
              </a:ext>
            </a:extLst>
          </xdr:cNvPr>
          <xdr:cNvSpPr/>
        </xdr:nvSpPr>
        <xdr:spPr>
          <a:xfrm>
            <a:off x="2028832" y="107950"/>
            <a:ext cx="441318" cy="215900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Pro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dm1-my.sharepoint.com/MyWorks/FRANCOIS%20KAPAMBA/KATANGA/ADMIN%20RH/SUIVI%20STAFF/Dossiers%20Salaires%20Bases/SALAIRES%20BASES%202009/L'SHI%202009/BDD%20SALAIRES%20LU%202009%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-Line"/>
      <sheetName val="Heures Sups"/>
      <sheetName val="Transport"/>
      <sheetName val="Récap."/>
      <sheetName val="Fiches"/>
      <sheetName val="F.de Calc."/>
      <sheetName val="Barêmes"/>
      <sheetName val="BAREME IPR"/>
      <sheetName val="IPR LU"/>
      <sheetName val="INSS LU"/>
      <sheetName val="INPP LU "/>
      <sheetName val="Billetage"/>
      <sheetName val="AVANCE QUINZAINE"/>
      <sheetName val=" QUINZAINE "/>
      <sheetName val="Suivi staff"/>
      <sheetName val="Module1"/>
      <sheetName val="Module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0C19F29-8EF4-44E6-A164-AC1DCC25D3B9}" autoFormatId="16" applyNumberFormats="0" applyBorderFormats="0" applyFontFormats="0" applyPatternFormats="0" applyAlignmentFormats="0" applyWidthHeightFormats="0">
  <queryTableRefresh nextId="53">
    <queryTableFields count="37">
      <queryTableField id="1" name="HR code" tableColumnId="1"/>
      <queryTableField id="2" name="#" tableColumnId="2"/>
      <queryTableField id="37" dataBound="0" tableColumnId="37"/>
      <queryTableField id="3" name="Position" tableColumnId="3"/>
      <queryTableField id="4" name="Location" tableColumnId="4"/>
      <queryTableField id="6" name="Gender_x000a_(M/F)" tableColumnId="6"/>
      <queryTableField id="7" name="First Name" tableColumnId="7"/>
      <queryTableField id="8" name="Family Name" tableColumnId="8"/>
      <queryTableField id="9" name="Father Name" tableColumnId="9"/>
      <queryTableField id="10" name="FIRST NAME_x000a_ARABIC" tableColumnId="10"/>
      <queryTableField id="11" name="Family_x000a_ARABIC" tableColumnId="11"/>
      <queryTableField id="12" name="Father Name_x000a_Arabic" tableColumnId="12"/>
      <queryTableField id="13" name="Phone Number" tableColumnId="13"/>
      <queryTableField id="14" name="Email Address" tableColumnId="14"/>
      <queryTableField id="15" name="BIRTH DATE_x000a_(DD/MM/YYYY)" tableColumnId="15"/>
      <queryTableField id="16" name="Nationality" tableColumnId="16"/>
      <queryTableField id="17" name="Nationality Arabic" tableColumnId="17"/>
      <queryTableField id="18" name="Nationality Turkish" tableColumnId="18"/>
      <queryTableField id="19" name="ID Type" tableColumnId="19"/>
      <queryTableField id="20" name="ID Num" tableColumnId="20"/>
      <queryTableField id="21" name="PLACE OF BIRTH" tableColumnId="21"/>
      <queryTableField id="22" name="Place of birth arabic" tableColumnId="22"/>
      <queryTableField id="23" name="Address" tableColumnId="23"/>
      <queryTableField id="24" name="Address arabic" tableColumnId="24"/>
      <queryTableField id="25" name="Working Hours" tableColumnId="25"/>
      <queryTableField id="26" name="Start Time" tableColumnId="26"/>
      <queryTableField id="27" name="Finish Time" tableColumnId="27"/>
      <queryTableField id="28" name="Date of entry in DDD_x000a_DD/MM/YYYY" tableColumnId="28"/>
      <queryTableField id="29" name="Date of beginning of probation contract_x000a_(DD/MM/YYYY)" tableColumnId="29"/>
      <queryTableField id="30" name="End of Probation Period_x000a_(DD/MM/YYYY)" tableColumnId="30"/>
      <queryTableField id="31" name="Beginning of Contract_x000a_(DD/MM/YYYY)" tableColumnId="31"/>
      <queryTableField id="32" name="End of Contract date_x000a_(DD/MM/YYYY)" tableColumnId="32"/>
      <queryTableField id="41" dataBound="0" tableColumnId="41"/>
      <queryTableField id="33" name="Category" tableColumnId="33"/>
      <queryTableField id="34" name="Level" tableColumnId="34"/>
      <queryTableField id="44" dataBound="0" tableColumnId="43"/>
      <queryTableField id="35" name="IBAN _TL" tableColumnId="35"/>
    </queryTableFields>
    <queryTableDeletedFields count="2">
      <deletedField name="Title"/>
      <deletedField name="IBAN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8FB5641-FE4C-4D97-9C52-E6DB7BDEC96F}" name="MS_Data_TBL" displayName="MS_Data_TBL" ref="A10:AK22" tableType="queryTable" totalsRowShown="0" headerRowDxfId="67">
  <autoFilter ref="A10:AK22" xr:uid="{D8FB5641-FE4C-4D97-9C52-E6DB7BDEC96F}"/>
  <tableColumns count="37">
    <tableColumn id="1" xr3:uid="{0B1418F3-6CB1-41E0-A088-2E08309E003A}" uniqueName="1" name="HR code" queryTableFieldId="1" dataDxfId="66"/>
    <tableColumn id="2" xr3:uid="{0045D9D3-73D9-4831-A8BB-3967E445825A}" uniqueName="2" name="#" queryTableFieldId="2" dataDxfId="65"/>
    <tableColumn id="37" xr3:uid="{E53E7C4D-621C-4F27-AE08-7241003FAAF4}" uniqueName="37" name="Name" queryTableFieldId="37" dataDxfId="64"/>
    <tableColumn id="3" xr3:uid="{F6EA87FA-6783-4366-9823-764C7535EDDC}" uniqueName="3" name="Position" queryTableFieldId="3" dataDxfId="63"/>
    <tableColumn id="4" xr3:uid="{5C5686F1-DAF3-4ACC-BE24-A51A71B7A024}" uniqueName="4" name="Location" queryTableFieldId="4" dataDxfId="62"/>
    <tableColumn id="6" xr3:uid="{2FC34CB3-9EBF-4996-AD55-CB289403DBA0}" uniqueName="6" name="Gender_x000a_(M/F)" queryTableFieldId="6" dataDxfId="61"/>
    <tableColumn id="7" xr3:uid="{50284BE6-CCA4-4D45-9CAA-5C95A4689092}" uniqueName="7" name="First Name" queryTableFieldId="7" dataDxfId="60"/>
    <tableColumn id="8" xr3:uid="{B6B9FAEB-F556-4D22-B0DB-F90576A438F8}" uniqueName="8" name="Family Name" queryTableFieldId="8" dataDxfId="59"/>
    <tableColumn id="9" xr3:uid="{52380547-A138-4E46-8870-FA5D26ADA8DF}" uniqueName="9" name="Father Name" queryTableFieldId="9" dataDxfId="58"/>
    <tableColumn id="10" xr3:uid="{7E4B4CE3-C765-4211-B1E1-EF136BF52A07}" uniqueName="10" name="FIRST NAME_x000a_ARABIC" queryTableFieldId="10" dataDxfId="57"/>
    <tableColumn id="11" xr3:uid="{D0DDA6DE-AC3B-4D14-B687-8B9F29D9C6E6}" uniqueName="11" name="Family_x000a_ARABIC" queryTableFieldId="11" dataDxfId="56"/>
    <tableColumn id="12" xr3:uid="{A911A078-5695-4BF9-B903-0617B269DD0F}" uniqueName="12" name="Father Name_x000a_Arabic" queryTableFieldId="12" dataDxfId="55"/>
    <tableColumn id="13" xr3:uid="{E49FABCE-6B57-4A55-993F-062D124825F4}" uniqueName="13" name="Phone Number" queryTableFieldId="13" dataDxfId="54"/>
    <tableColumn id="14" xr3:uid="{1A4C087F-E3A5-40C8-8F0C-38B752209A3A}" uniqueName="14" name="Email Address" queryTableFieldId="14" dataDxfId="53"/>
    <tableColumn id="15" xr3:uid="{09235E1D-E795-48D4-A5D1-BAC7456D93C2}" uniqueName="15" name="BIRTH DATE" queryTableFieldId="15" dataDxfId="52"/>
    <tableColumn id="16" xr3:uid="{F894760D-306E-44F0-9F9A-AF400ADE0250}" uniqueName="16" name="Nationality" queryTableFieldId="16" dataDxfId="51"/>
    <tableColumn id="17" xr3:uid="{5B4E1A08-9C4A-475F-9BB2-FB9FD1C96DC5}" uniqueName="17" name="Nationality Arabic" queryTableFieldId="17" dataDxfId="50"/>
    <tableColumn id="18" xr3:uid="{F4FE8CEC-DBD5-4ED8-84F7-162D735B2728}" uniqueName="18" name="Nationality Turkish" queryTableFieldId="18" dataDxfId="49"/>
    <tableColumn id="19" xr3:uid="{B4878CE9-411D-4F1D-A400-B3C1EC676B78}" uniqueName="19" name="ID Type" queryTableFieldId="19" dataDxfId="48"/>
    <tableColumn id="20" xr3:uid="{346099E1-5888-4D85-94FF-EDE4034BC8F5}" uniqueName="20" name="ID Num" queryTableFieldId="20" dataDxfId="47"/>
    <tableColumn id="21" xr3:uid="{6C050DCF-D4BB-4087-AA41-46C7BBE07063}" uniqueName="21" name="PLACE OF BIRTH" queryTableFieldId="21" dataDxfId="46"/>
    <tableColumn id="22" xr3:uid="{77B130F5-82FB-48B4-BF36-092336BE2AE4}" uniqueName="22" name="Place of birth arabic" queryTableFieldId="22" dataDxfId="45"/>
    <tableColumn id="23" xr3:uid="{7FAFF684-EE62-4DD2-A4B0-7B5D4C06FBEA}" uniqueName="23" name="Address" queryTableFieldId="23" dataDxfId="44"/>
    <tableColumn id="24" xr3:uid="{E6529716-965B-4E2A-A3EB-37634A18C53D}" uniqueName="24" name="Address arabic" queryTableFieldId="24" dataDxfId="43"/>
    <tableColumn id="25" xr3:uid="{276EFFA5-A39D-4EF7-9B4C-9271B17CAB8E}" uniqueName="25" name="Working Hours" queryTableFieldId="25"/>
    <tableColumn id="26" xr3:uid="{7DA34AFB-5911-4895-AAD3-FC08B2D34221}" uniqueName="26" name="Start Time" queryTableFieldId="26" dataDxfId="42"/>
    <tableColumn id="27" xr3:uid="{F95E18E4-DDCA-44BE-9582-73D58D9C26F4}" uniqueName="27" name="Finish Time" queryTableFieldId="27" dataDxfId="41"/>
    <tableColumn id="28" xr3:uid="{09297CBD-4FF8-4F0A-9EB0-60BCBB9D461A}" uniqueName="28" name="Date of entry" queryTableFieldId="28" dataDxfId="40"/>
    <tableColumn id="29" xr3:uid="{39B552EB-0F99-49F7-BFB2-AB5E441C386D}" uniqueName="29" name="Date of beginning of probation contract" queryTableFieldId="29" dataDxfId="39"/>
    <tableColumn id="30" xr3:uid="{6F3302EB-84CD-4419-9000-08E4548A5795}" uniqueName="30" name="End of Probation Period" queryTableFieldId="30" dataDxfId="38"/>
    <tableColumn id="31" xr3:uid="{A2AAEBB7-A7D4-4A94-9514-D2F1FF3485B9}" uniqueName="31" name="Beginning of Contract" queryTableFieldId="31" dataDxfId="37"/>
    <tableColumn id="32" xr3:uid="{EFEDBACC-6A09-4103-8749-4DD161288397}" uniqueName="32" name="End of Contract date" queryTableFieldId="32" dataDxfId="36"/>
    <tableColumn id="41" xr3:uid="{1D8B1717-66D4-444C-B61F-6937C655D81D}" uniqueName="41" name="Position Cat&amp;L" queryTableFieldId="41" dataDxfId="35"/>
    <tableColumn id="33" xr3:uid="{8D1FF568-6D3F-4204-9468-E1EDA3CC5678}" uniqueName="33" name="Category" queryTableFieldId="33"/>
    <tableColumn id="34" xr3:uid="{545CBE32-E156-4CF1-9346-E7E498C61798}" uniqueName="34" name="Level" queryTableFieldId="34"/>
    <tableColumn id="43" xr3:uid="{5A44A3D2-D663-4EE8-AB9F-A6D667B80124}" uniqueName="43" name="Basic Salary" queryTableFieldId="44" dataDxfId="34" dataCellStyle="Currency"/>
    <tableColumn id="35" xr3:uid="{457621BF-40A9-4852-BD7B-85BB4CF2863E}" uniqueName="35" name="IBAN _TL" queryTableFieldId="35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5B3133-33B8-4DEE-843E-106A2FD8709C}" name="FilesTbl" displayName="FilesTbl" ref="B10:K17" totalsRowShown="0" dataDxfId="32">
  <autoFilter ref="B10:K17" xr:uid="{00000000-0009-0000-0100-000002000000}"/>
  <sortState xmlns:xlrd2="http://schemas.microsoft.com/office/spreadsheetml/2017/richdata2" ref="B10:K11">
    <sortCondition ref="B10"/>
  </sortState>
  <tableColumns count="10">
    <tableColumn id="1" xr3:uid="{030A18DC-A0C7-4A9F-8D28-0347136B9480}" name="Old Name" dataDxfId="31"/>
    <tableColumn id="2" xr3:uid="{4000C3A5-C690-49A1-A160-96253CA87F54}" name="Extension" dataDxfId="30"/>
    <tableColumn id="3" xr3:uid="{D0577EAA-A0CC-4E5E-BE74-3610FEA9E185}" name="New Name" dataDxfId="29">
      <calculatedColumnFormula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calculatedColumnFormula>
    </tableColumn>
    <tableColumn id="4" xr3:uid="{618DD915-6545-4B58-98BF-81081BDBB19E}" name="Code" dataDxfId="28">
      <calculatedColumnFormula>LEFT(FilesTbl[[#This Row],[Old Name]],6)</calculatedColumnFormula>
    </tableColumn>
    <tableColumn id="7" xr3:uid="{851A1142-200A-4108-BBD0-51112CFA1D78}" name="Position" dataDxfId="27">
      <calculatedColumnFormula>VLOOKUP(FilesTbl[[#This Row],[Code]],MS_Data_TBL[],4,FALSE)</calculatedColumnFormula>
    </tableColumn>
    <tableColumn id="5" xr3:uid="{03FEC902-0F3F-4501-9287-CFB4792A2C97}" name="File Name" dataDxfId="26"/>
    <tableColumn id="9" xr3:uid="{AF8C467B-979A-4062-976E-B3B70CF4779A}" name="YEAR" dataDxfId="25"/>
    <tableColumn id="6" xr3:uid="{65BB3F0D-4CAF-4104-9DC8-AEBE2630C716}" name="MONTH" dataDxfId="24"/>
    <tableColumn id="8" xr3:uid="{6B9D116B-FCAD-48C9-93E0-376DC6C5EA6B}" name="Copy" dataDxfId="23"/>
    <tableColumn id="10" xr3:uid="{E1825E98-C2C9-4800-915F-8CEA862AEE89}" name="Num" dataDxfId="2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1281077-1F10-43A5-A113-EB28D10F7E6A}" name="CopyTbl" displayName="CopyTbl" ref="A10:H242" totalsRowShown="0" headerRowDxfId="20" headerRowBorderDxfId="19" tableBorderDxfId="18">
  <autoFilter ref="A10:H242" xr:uid="{829480D3-0493-4C85-8260-40F1CB9925B1}"/>
  <tableColumns count="8">
    <tableColumn id="1" xr3:uid="{3B70A982-1B19-43B0-8CCC-554411D44F7B}" name="Source" dataDxfId="17">
      <calculatedColumnFormula>IF(CopyTbl[[#This Row],[File Name]]="","",CopyTbl[[#This Row],[Source Path]]&amp;"\"&amp;CopyTbl[[#This Row],[File Name]]&amp;CopyTbl[[#This Row],[Extend]])</calculatedColumnFormula>
    </tableColumn>
    <tableColumn id="2" xr3:uid="{7C4086DD-A780-4042-A1B5-A6A40C56B955}" name="Destination" dataDxfId="16">
      <calculatedColumnFormula>IF(CopyTbl[[#This Row],[File Name]]="","",CopyTbl[[#This Row],[Destination Path]]&amp;CopyTbl[[#This Row],[Employee Folder Name]]&amp;"\"&amp;CopyTbl[[#This Row],[File Name]]&amp;CopyTbl[[#This Row],[Extend]])</calculatedColumnFormula>
    </tableColumn>
    <tableColumn id="3" xr3:uid="{01060BFD-EF55-484C-948E-954E4FC070E9}" name="Source Path" dataDxfId="15">
      <calculatedColumnFormula>IF(CopyTbl[[#This Row],[File Name]]="","",Rename!$B$3)</calculatedColumnFormula>
    </tableColumn>
    <tableColumn id="4" xr3:uid="{1DBF5BFD-A2C5-4CE8-BF2E-11D02F097B89}" name="Destination Path" dataDxfId="14">
      <calculatedColumnFormula>IF(C11="","",D10)</calculatedColumnFormula>
    </tableColumn>
    <tableColumn id="5" xr3:uid="{65725BFC-10E8-4ED0-A3A1-B78AD16515DC}" name="Employee Folder Name" dataDxfId="13">
      <calculatedColumnFormula>IF(CopyTbl[[#This Row],[File Name]]="","",LEFT(CopyTbl[[#This Row],[File Name]],6))</calculatedColumnFormula>
    </tableColumn>
    <tableColumn id="6" xr3:uid="{BDA8506D-5155-4FAD-A16B-D5B5E0802510}" name="File Name" dataDxfId="12">
      <calculatedColumnFormula>IFERROR(IF(FilesTbl[[#This Row],[Old Name]]="","",FilesTbl[[#This Row],[Old Name]]),"")</calculatedColumnFormula>
    </tableColumn>
    <tableColumn id="7" xr3:uid="{09205604-9B7F-45F2-AF86-7B52B5F4D7DA}" name="Extend" dataDxfId="11">
      <calculatedColumnFormula>IFERROR(IF(FilesTbl[[#This Row],[Extension]]="","",FilesTbl[[#This Row],[Extension]]),"")</calculatedColumnFormula>
    </tableColumn>
    <tableColumn id="8" xr3:uid="{675459BE-AB81-4219-AD50-75D2CB5DD297}" name="Status" dataDxfId="10">
      <calculatedColumnFormula>IFERROR(VLOOKUP(LEFT(CopyTbl[[#This Row],[File Name]],6),#REF!,2,FALSE),"")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71B43B-B798-4449-ADD0-5664EC9FB76C}" name="Days_Eng_Arb_Tbl" displayName="Days_Eng_Arb_Tbl" ref="G3:H10" totalsRowShown="0" headerRowDxfId="9" dataDxfId="8">
  <tableColumns count="2">
    <tableColumn id="1" xr3:uid="{ECD52F6F-03AC-4E93-9337-3EEFE106D002}" name="Day" dataDxfId="7"/>
    <tableColumn id="2" xr3:uid="{0903A0A9-065B-4C41-836C-D0B620D6D761}" name="اليوم" dataDxfId="6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15ECA-446E-445D-9FF5-143996D840C1}" name="Att_Date_Tbl" displayName="Att_Date_Tbl" ref="B3:E15" totalsRowShown="0" headerRowDxfId="5" dataDxfId="4">
  <tableColumns count="4">
    <tableColumn id="3" xr3:uid="{F476E741-A84C-446F-BFD1-F846593D38C4}" name="Month_Num" dataDxfId="3" dataCellStyle="Normal 9"/>
    <tableColumn id="1" xr3:uid="{70CDAFA9-AA04-4404-8CE9-6EB9BB63F6EB}" name="Month" dataDxfId="2" dataCellStyle="Normal 9"/>
    <tableColumn id="4" xr3:uid="{20A0D462-91E9-43D8-B0ED-718D3F3DED0F}" name="الشهر" dataDxfId="1" dataCellStyle="Normal 9"/>
    <tableColumn id="2" xr3:uid="{1A050579-D4E5-4058-9621-7FEE36C292FE}" name="Year_Num" dataDxfId="0" dataCellStyle="Normal 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t.me/Ahmedmayaelhassan" TargetMode="External"/><Relationship Id="rId1" Type="http://schemas.openxmlformats.org/officeDocument/2006/relationships/hyperlink" Target="mailto:ahmed.elhassan@ahha985.onmicrosof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562F5-0F96-4A0D-A98F-9D60C8594755}">
  <sheetPr codeName="Sh_INDEX">
    <tabColor rgb="FFFFC000"/>
  </sheetPr>
  <dimension ref="A1:Z26"/>
  <sheetViews>
    <sheetView showGridLines="0" tabSelected="1" zoomScaleNormal="100" workbookViewId="0">
      <selection activeCell="A12" sqref="A12:A13"/>
    </sheetView>
  </sheetViews>
  <sheetFormatPr defaultColWidth="0" defaultRowHeight="20.100000000000001" customHeight="1" zeroHeight="1" x14ac:dyDescent="0.3"/>
  <cols>
    <col min="1" max="1" width="59.5546875" bestFit="1" customWidth="1"/>
    <col min="2" max="9" width="6.6640625" customWidth="1"/>
    <col min="10" max="14" width="4.5546875" customWidth="1"/>
    <col min="15" max="25" width="2" bestFit="1" customWidth="1"/>
    <col min="26" max="26" width="4.33203125" customWidth="1"/>
    <col min="27" max="16384" width="6.5546875" hidden="1"/>
  </cols>
  <sheetData>
    <row r="1" spans="1:26" s="52" customFormat="1" ht="25.05" customHeight="1" x14ac:dyDescent="0.3">
      <c r="A1" s="41" t="s">
        <v>150</v>
      </c>
      <c r="B1"/>
      <c r="C1"/>
      <c r="D1" s="54"/>
      <c r="E1"/>
      <c r="F1"/>
      <c r="G1"/>
      <c r="H1"/>
      <c r="I1"/>
      <c r="J1"/>
      <c r="K1"/>
      <c r="L1"/>
      <c r="M1"/>
      <c r="N1"/>
      <c r="O1" s="52" t="s">
        <v>81</v>
      </c>
      <c r="P1" s="52" t="s">
        <v>81</v>
      </c>
      <c r="Q1" s="52" t="s">
        <v>81</v>
      </c>
      <c r="R1" s="52" t="s">
        <v>81</v>
      </c>
      <c r="S1" s="52" t="s">
        <v>81</v>
      </c>
      <c r="T1" s="52" t="s">
        <v>81</v>
      </c>
      <c r="U1" s="52" t="s">
        <v>81</v>
      </c>
      <c r="V1" s="52" t="s">
        <v>81</v>
      </c>
      <c r="W1" s="52" t="s">
        <v>81</v>
      </c>
      <c r="X1" s="52" t="s">
        <v>81</v>
      </c>
      <c r="Y1" s="52" t="s">
        <v>81</v>
      </c>
      <c r="Z1" s="53"/>
    </row>
    <row r="2" spans="1:26" s="52" customFormat="1" ht="25.05" customHeight="1" x14ac:dyDescent="0.3">
      <c r="A2" s="42" t="s">
        <v>172</v>
      </c>
      <c r="B2"/>
      <c r="C2"/>
      <c r="D2" s="54"/>
      <c r="E2"/>
      <c r="F2"/>
      <c r="G2"/>
      <c r="H2"/>
      <c r="I2"/>
      <c r="J2"/>
      <c r="K2"/>
      <c r="L2"/>
      <c r="M2"/>
      <c r="N2"/>
      <c r="O2" s="51"/>
      <c r="P2" s="10"/>
      <c r="Q2" s="10"/>
      <c r="R2" s="10"/>
      <c r="S2" s="10"/>
      <c r="T2" s="10"/>
      <c r="U2" s="10"/>
      <c r="V2" s="10"/>
      <c r="W2" s="10"/>
      <c r="X2" s="51"/>
      <c r="Y2" s="11"/>
    </row>
    <row r="3" spans="1:26" s="52" customFormat="1" ht="25.05" customHeight="1" x14ac:dyDescent="0.3">
      <c r="A3" s="55">
        <f ca="1">NOW()</f>
        <v>45522.50138854167</v>
      </c>
      <c r="B3"/>
      <c r="C3"/>
      <c r="D3" s="54"/>
      <c r="E3"/>
      <c r="F3"/>
      <c r="G3"/>
      <c r="H3"/>
      <c r="I3"/>
      <c r="J3"/>
      <c r="K3"/>
      <c r="L3"/>
      <c r="M3"/>
      <c r="N3"/>
      <c r="O3" s="51"/>
      <c r="P3" s="10"/>
      <c r="Q3" s="10"/>
      <c r="R3" s="10"/>
      <c r="S3" s="10"/>
      <c r="T3" s="10"/>
      <c r="U3" s="10"/>
      <c r="V3" s="10"/>
      <c r="W3" s="10"/>
      <c r="X3" s="51"/>
      <c r="Y3" s="51"/>
    </row>
    <row r="4" spans="1:26" s="52" customFormat="1" ht="25.05" customHeight="1" x14ac:dyDescent="0.3">
      <c r="A4" s="42" t="s">
        <v>167</v>
      </c>
      <c r="B4"/>
      <c r="C4"/>
      <c r="D4"/>
      <c r="E4"/>
      <c r="F4"/>
      <c r="G4"/>
      <c r="H4"/>
      <c r="I4"/>
      <c r="J4"/>
      <c r="K4"/>
      <c r="L4"/>
      <c r="M4"/>
      <c r="N4"/>
      <c r="O4" s="51"/>
      <c r="P4" s="10"/>
      <c r="Q4" s="10"/>
      <c r="R4" s="10"/>
      <c r="S4" s="10"/>
      <c r="T4" s="10"/>
      <c r="U4" s="10"/>
      <c r="V4" s="10"/>
      <c r="W4" s="10"/>
      <c r="X4" s="51"/>
      <c r="Y4" s="50"/>
    </row>
    <row r="5" spans="1:26" s="52" customFormat="1" ht="25.05" customHeight="1" x14ac:dyDescent="0.3">
      <c r="A5" s="75" t="s">
        <v>192</v>
      </c>
      <c r="B5"/>
      <c r="C5"/>
      <c r="D5"/>
      <c r="E5"/>
      <c r="F5"/>
      <c r="G5"/>
      <c r="H5"/>
      <c r="I5"/>
      <c r="J5"/>
      <c r="K5"/>
      <c r="L5"/>
      <c r="M5"/>
      <c r="N5"/>
      <c r="O5" s="51"/>
      <c r="P5" s="10"/>
      <c r="Q5" s="10"/>
      <c r="R5" s="10"/>
      <c r="S5" s="10"/>
      <c r="T5" s="10"/>
      <c r="U5" s="10"/>
      <c r="V5" s="10"/>
      <c r="W5" s="10"/>
      <c r="X5" s="51"/>
      <c r="Y5" s="50"/>
    </row>
    <row r="6" spans="1:26" s="52" customFormat="1" ht="25.05" customHeight="1" thickBot="1" x14ac:dyDescent="0.35">
      <c r="A6" s="68"/>
      <c r="B6"/>
      <c r="C6"/>
      <c r="D6"/>
      <c r="E6"/>
      <c r="F6"/>
      <c r="G6"/>
      <c r="H6"/>
      <c r="I6"/>
      <c r="J6"/>
      <c r="K6"/>
      <c r="L6"/>
      <c r="M6"/>
      <c r="N6"/>
      <c r="O6" s="51"/>
      <c r="P6" s="10"/>
      <c r="Q6" s="51"/>
      <c r="R6" s="51"/>
      <c r="S6" s="51"/>
      <c r="T6" s="51"/>
      <c r="U6" s="51"/>
      <c r="V6" s="51"/>
      <c r="W6" s="51"/>
      <c r="X6" s="51"/>
      <c r="Y6" s="50"/>
    </row>
    <row r="7" spans="1:26" s="52" customFormat="1" ht="25.05" customHeight="1" thickTop="1" x14ac:dyDescent="0.3">
      <c r="A7" s="83" t="s">
        <v>191</v>
      </c>
      <c r="B7"/>
      <c r="C7"/>
      <c r="D7"/>
      <c r="E7"/>
      <c r="F7"/>
      <c r="G7"/>
      <c r="H7"/>
      <c r="I7"/>
      <c r="J7"/>
      <c r="K7"/>
      <c r="L7"/>
      <c r="M7"/>
      <c r="N7"/>
      <c r="O7" s="51"/>
      <c r="P7" s="10"/>
      <c r="Q7" s="51"/>
      <c r="R7" s="51"/>
      <c r="S7" s="11"/>
      <c r="T7" s="51"/>
      <c r="U7" s="51"/>
      <c r="V7" s="11"/>
      <c r="W7" s="11"/>
      <c r="X7" s="11"/>
      <c r="Y7" s="50"/>
    </row>
    <row r="8" spans="1:26" s="52" customFormat="1" ht="25.05" customHeight="1" x14ac:dyDescent="0.3">
      <c r="A8" s="84"/>
      <c r="B8"/>
      <c r="C8"/>
      <c r="D8"/>
      <c r="E8"/>
      <c r="F8"/>
      <c r="G8"/>
      <c r="H8"/>
      <c r="I8"/>
      <c r="J8"/>
      <c r="K8"/>
      <c r="L8"/>
      <c r="M8"/>
      <c r="N8"/>
      <c r="O8" s="51"/>
      <c r="P8" s="10"/>
      <c r="Q8" s="51"/>
      <c r="R8" s="51"/>
      <c r="S8" s="11"/>
      <c r="T8" s="51"/>
      <c r="U8" s="51"/>
      <c r="V8" s="11"/>
      <c r="W8" s="51"/>
      <c r="X8" s="11"/>
      <c r="Y8" s="50"/>
    </row>
    <row r="9" spans="1:26" s="52" customFormat="1" ht="25.05" customHeight="1" x14ac:dyDescent="0.3">
      <c r="A9" s="84"/>
      <c r="B9"/>
      <c r="C9"/>
      <c r="D9"/>
      <c r="E9"/>
      <c r="F9"/>
      <c r="G9"/>
      <c r="H9"/>
      <c r="I9"/>
      <c r="J9"/>
      <c r="K9"/>
      <c r="L9"/>
      <c r="M9"/>
      <c r="N9"/>
      <c r="O9" s="51"/>
      <c r="P9" s="10"/>
      <c r="Q9" s="51"/>
      <c r="R9" s="51"/>
      <c r="S9" s="11"/>
      <c r="T9" s="51"/>
      <c r="U9" s="51"/>
      <c r="V9" s="11"/>
      <c r="W9" s="51"/>
      <c r="X9" s="11"/>
      <c r="Y9" s="50"/>
    </row>
    <row r="10" spans="1:26" s="52" customFormat="1" ht="25.05" customHeight="1" thickBot="1" x14ac:dyDescent="0.35">
      <c r="A10" s="85"/>
      <c r="B10"/>
      <c r="C10"/>
      <c r="D10"/>
      <c r="E10"/>
      <c r="F10"/>
      <c r="G10"/>
      <c r="H10"/>
      <c r="I10"/>
      <c r="J10"/>
      <c r="K10"/>
      <c r="L10"/>
      <c r="M10"/>
      <c r="N10"/>
      <c r="O10" s="51"/>
      <c r="P10" s="10"/>
      <c r="Q10" s="11"/>
      <c r="R10" s="11"/>
      <c r="S10" s="11"/>
      <c r="T10" s="11"/>
      <c r="U10" s="11"/>
      <c r="V10" s="11"/>
      <c r="W10" s="11"/>
      <c r="X10" s="11"/>
      <c r="Y10" s="50"/>
    </row>
    <row r="11" spans="1:26" s="52" customFormat="1" ht="25.05" customHeight="1" thickTop="1" x14ac:dyDescent="0.3">
      <c r="A11" s="76"/>
      <c r="B11"/>
      <c r="C11"/>
      <c r="D11"/>
      <c r="E11"/>
      <c r="F11"/>
      <c r="G11"/>
      <c r="H11"/>
      <c r="I11"/>
      <c r="J11"/>
      <c r="K11"/>
      <c r="L11"/>
      <c r="M11"/>
      <c r="N11"/>
      <c r="O11" s="51"/>
      <c r="P11" s="10"/>
      <c r="Q11" s="51"/>
      <c r="R11" s="51"/>
      <c r="S11" s="51"/>
      <c r="T11" s="11"/>
      <c r="U11" s="51"/>
      <c r="V11" s="51"/>
      <c r="W11" s="51"/>
      <c r="X11" s="51"/>
      <c r="Y11" s="50"/>
    </row>
    <row r="12" spans="1:26" s="52" customFormat="1" ht="25.05" customHeight="1" x14ac:dyDescent="0.3">
      <c r="A12" s="82" t="s">
        <v>271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 s="51"/>
      <c r="P12" s="10"/>
      <c r="Q12" s="51"/>
      <c r="R12" s="51"/>
      <c r="S12" s="51"/>
      <c r="T12" s="51"/>
      <c r="U12" s="51"/>
      <c r="V12" s="51"/>
      <c r="W12" s="51"/>
      <c r="X12" s="51"/>
      <c r="Y12" s="51"/>
    </row>
    <row r="13" spans="1:26" s="52" customFormat="1" ht="25.05" customHeight="1" x14ac:dyDescent="0.3">
      <c r="A13" s="82" t="s">
        <v>272</v>
      </c>
      <c r="B13"/>
      <c r="C13"/>
      <c r="D13"/>
      <c r="E13"/>
      <c r="F13"/>
      <c r="G13"/>
      <c r="H13"/>
      <c r="I13"/>
      <c r="J13"/>
      <c r="K13"/>
      <c r="L13"/>
      <c r="M13"/>
      <c r="N13"/>
      <c r="O13" s="51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6" s="52" customFormat="1" ht="25.05" customHeight="1" x14ac:dyDescent="0.3">
      <c r="A14" s="54"/>
      <c r="B14"/>
      <c r="C14"/>
      <c r="D14"/>
      <c r="E14"/>
      <c r="F14"/>
      <c r="G14"/>
      <c r="H14"/>
      <c r="I14"/>
      <c r="J14"/>
      <c r="K14"/>
      <c r="L14"/>
      <c r="M14"/>
      <c r="N14"/>
      <c r="O14" s="51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6" s="51" customFormat="1" ht="25.05" customHeight="1" x14ac:dyDescent="0.3"/>
    <row r="26" spans="26:26" ht="20.100000000000001" hidden="1" customHeight="1" x14ac:dyDescent="0.3">
      <c r="Z26" s="8">
        <f ca="1">TODAY()</f>
        <v>45522</v>
      </c>
    </row>
  </sheetData>
  <sheetProtection algorithmName="SHA-512" hashValue="hwbtE20iE3mKKXZ5M1JzJo/h0Tzu1lruVKgmDyVFe+U32B7P7pbrXoDe6MN0PV/Iv30lGOcz8QZMzCfvX0OLjA==" saltValue="+qQ2NJWaaVGRISfcJo+31w==" spinCount="100000" sheet="1" scenarios="1" autoFilter="0"/>
  <mergeCells count="1">
    <mergeCell ref="A7:A10"/>
  </mergeCells>
  <hyperlinks>
    <hyperlink ref="A2" r:id="rId1" xr:uid="{F1C1E8E6-0337-406F-9970-0E3FCE4108B8}"/>
    <hyperlink ref="A4" r:id="rId2" xr:uid="{77122A32-22C1-451A-A8E3-DA02A356B98A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5508-4C74-4223-BF69-0F2295FC1742}">
  <sheetPr codeName="Sh_Data"/>
  <dimension ref="A2:AK22"/>
  <sheetViews>
    <sheetView workbookViewId="0">
      <pane xSplit="3" ySplit="10" topLeftCell="AF11" activePane="bottomRight" state="frozen"/>
      <selection pane="topRight" activeCell="D1" sqref="D1"/>
      <selection pane="bottomLeft" activeCell="A11" sqref="A11"/>
      <selection pane="bottomRight" activeCell="A8" sqref="A8"/>
    </sheetView>
  </sheetViews>
  <sheetFormatPr defaultRowHeight="14.4" x14ac:dyDescent="0.3"/>
  <cols>
    <col min="1" max="1" width="13.109375" bestFit="1" customWidth="1"/>
    <col min="2" max="2" width="6.5546875" bestFit="1" customWidth="1"/>
    <col min="3" max="3" width="19.109375" bestFit="1" customWidth="1"/>
    <col min="4" max="4" width="24.77734375" bestFit="1" customWidth="1"/>
    <col min="5" max="5" width="13.33203125" bestFit="1" customWidth="1"/>
    <col min="6" max="6" width="18.77734375" bestFit="1" customWidth="1"/>
    <col min="7" max="7" width="15.44140625" bestFit="1" customWidth="1"/>
    <col min="8" max="9" width="17.5546875" bestFit="1" customWidth="1"/>
    <col min="10" max="10" width="24.88671875" bestFit="1" customWidth="1"/>
    <col min="11" max="11" width="19.5546875" bestFit="1" customWidth="1"/>
    <col min="12" max="12" width="24.6640625" bestFit="1" customWidth="1"/>
    <col min="13" max="13" width="25.109375" bestFit="1" customWidth="1"/>
    <col min="14" max="14" width="38.33203125" bestFit="1" customWidth="1"/>
    <col min="15" max="15" width="32.5546875" bestFit="1" customWidth="1"/>
    <col min="16" max="16" width="15.77734375" bestFit="1" customWidth="1"/>
    <col min="17" max="17" width="22.44140625" bestFit="1" customWidth="1"/>
    <col min="18" max="18" width="23.44140625" bestFit="1" customWidth="1"/>
    <col min="19" max="20" width="12.44140625" bestFit="1" customWidth="1"/>
    <col min="21" max="21" width="20.5546875" bestFit="1" customWidth="1"/>
    <col min="22" max="22" width="24.33203125" bestFit="1" customWidth="1"/>
    <col min="23" max="23" width="23.5546875" bestFit="1" customWidth="1"/>
    <col min="24" max="24" width="19.21875" bestFit="1" customWidth="1"/>
    <col min="25" max="25" width="19.5546875" bestFit="1" customWidth="1"/>
    <col min="26" max="26" width="15" bestFit="1" customWidth="1"/>
    <col min="27" max="27" width="16" bestFit="1" customWidth="1"/>
    <col min="28" max="28" width="39.88671875" bestFit="1" customWidth="1"/>
    <col min="29" max="29" width="59.33203125" bestFit="1" customWidth="1"/>
    <col min="30" max="30" width="44.33203125" bestFit="1" customWidth="1"/>
    <col min="31" max="31" width="41.77734375" bestFit="1" customWidth="1"/>
    <col min="32" max="32" width="41" bestFit="1" customWidth="1"/>
    <col min="33" max="33" width="19.33203125" bestFit="1" customWidth="1"/>
    <col min="34" max="34" width="13.6640625" bestFit="1" customWidth="1"/>
    <col min="35" max="35" width="10.109375" bestFit="1" customWidth="1"/>
    <col min="36" max="36" width="16.21875" bestFit="1" customWidth="1"/>
    <col min="37" max="37" width="25.77734375" bestFit="1" customWidth="1"/>
    <col min="38" max="38" width="7.21875" customWidth="1"/>
  </cols>
  <sheetData>
    <row r="2" spans="1:37" ht="6" customHeight="1" x14ac:dyDescent="0.3"/>
    <row r="3" spans="1:37" ht="6" customHeight="1" x14ac:dyDescent="0.3"/>
    <row r="4" spans="1:37" ht="6" customHeight="1" x14ac:dyDescent="0.3"/>
    <row r="5" spans="1:37" ht="6" customHeight="1" x14ac:dyDescent="0.3"/>
    <row r="6" spans="1:37" ht="6" customHeight="1" x14ac:dyDescent="0.3"/>
    <row r="7" spans="1:37" ht="6" customHeight="1" x14ac:dyDescent="0.3">
      <c r="AE7" s="72"/>
      <c r="AF7" s="72"/>
    </row>
    <row r="8" spans="1:37" ht="15.6" x14ac:dyDescent="0.3">
      <c r="A8" s="74" t="s">
        <v>190</v>
      </c>
      <c r="B8" s="73">
        <f>COUNTIFS(MS_Data_TBL['#],"A")</f>
        <v>10</v>
      </c>
      <c r="AE8" s="72"/>
      <c r="AF8" s="72"/>
    </row>
    <row r="9" spans="1:37" ht="15.6" x14ac:dyDescent="0.3">
      <c r="A9" s="12">
        <f>COLUMN()</f>
        <v>1</v>
      </c>
      <c r="B9" s="12">
        <f>COLUMN()</f>
        <v>2</v>
      </c>
      <c r="C9" s="12">
        <f>COLUMN()</f>
        <v>3</v>
      </c>
      <c r="D9" s="12">
        <f>COLUMN()</f>
        <v>4</v>
      </c>
      <c r="E9" s="12">
        <f>COLUMN()</f>
        <v>5</v>
      </c>
      <c r="F9" s="12">
        <f>COLUMN()</f>
        <v>6</v>
      </c>
      <c r="G9" s="12">
        <f>COLUMN()</f>
        <v>7</v>
      </c>
      <c r="H9" s="12">
        <f>COLUMN()</f>
        <v>8</v>
      </c>
      <c r="I9" s="12">
        <f>COLUMN()</f>
        <v>9</v>
      </c>
      <c r="J9" s="12">
        <f>COLUMN()</f>
        <v>10</v>
      </c>
      <c r="K9" s="12">
        <f>COLUMN()</f>
        <v>11</v>
      </c>
      <c r="L9" s="12">
        <f>COLUMN()</f>
        <v>12</v>
      </c>
      <c r="M9" s="12">
        <f>COLUMN()</f>
        <v>13</v>
      </c>
      <c r="N9" s="12">
        <f>COLUMN()</f>
        <v>14</v>
      </c>
      <c r="O9" s="12">
        <f>COLUMN()</f>
        <v>15</v>
      </c>
      <c r="P9" s="12">
        <f>COLUMN()</f>
        <v>16</v>
      </c>
      <c r="Q9" s="12">
        <f>COLUMN()</f>
        <v>17</v>
      </c>
      <c r="R9" s="12">
        <f>COLUMN()</f>
        <v>18</v>
      </c>
      <c r="S9" s="12">
        <f>COLUMN()</f>
        <v>19</v>
      </c>
      <c r="T9" s="12">
        <f>COLUMN()</f>
        <v>20</v>
      </c>
      <c r="U9" s="12">
        <f>COLUMN()</f>
        <v>21</v>
      </c>
      <c r="V9" s="12">
        <f>COLUMN()</f>
        <v>22</v>
      </c>
      <c r="W9" s="12">
        <f>COLUMN()</f>
        <v>23</v>
      </c>
      <c r="X9" s="12">
        <f>COLUMN()</f>
        <v>24</v>
      </c>
      <c r="Y9" s="12">
        <f>COLUMN()</f>
        <v>25</v>
      </c>
      <c r="Z9" s="12">
        <f>COLUMN()</f>
        <v>26</v>
      </c>
      <c r="AA9" s="12">
        <f>COLUMN()</f>
        <v>27</v>
      </c>
      <c r="AB9" s="12">
        <f>COLUMN()</f>
        <v>28</v>
      </c>
      <c r="AC9" s="12">
        <f>COLUMN()</f>
        <v>29</v>
      </c>
      <c r="AD9" s="12">
        <f>COLUMN()</f>
        <v>30</v>
      </c>
      <c r="AE9" s="12">
        <f>COLUMN()</f>
        <v>31</v>
      </c>
      <c r="AF9" s="12">
        <f>COLUMN()</f>
        <v>32</v>
      </c>
      <c r="AG9" s="12">
        <f>COLUMN()</f>
        <v>33</v>
      </c>
      <c r="AH9" s="12">
        <f>COLUMN()</f>
        <v>34</v>
      </c>
      <c r="AI9" s="12">
        <f>COLUMN()</f>
        <v>35</v>
      </c>
      <c r="AJ9" s="12">
        <f>COLUMN()</f>
        <v>36</v>
      </c>
      <c r="AK9" s="12">
        <f>COLUMN()</f>
        <v>37</v>
      </c>
    </row>
    <row r="10" spans="1:37" ht="58.2" customHeight="1" x14ac:dyDescent="0.3">
      <c r="A10" s="69" t="s">
        <v>3</v>
      </c>
      <c r="B10" s="69" t="s">
        <v>122</v>
      </c>
      <c r="C10" s="69" t="s">
        <v>0</v>
      </c>
      <c r="D10" s="69" t="s">
        <v>2</v>
      </c>
      <c r="E10" s="69" t="s">
        <v>16</v>
      </c>
      <c r="F10" s="69" t="s">
        <v>166</v>
      </c>
      <c r="G10" s="69" t="s">
        <v>4</v>
      </c>
      <c r="H10" s="69" t="s">
        <v>5</v>
      </c>
      <c r="I10" s="69" t="s">
        <v>6</v>
      </c>
      <c r="J10" s="69" t="s">
        <v>182</v>
      </c>
      <c r="K10" s="69" t="s">
        <v>183</v>
      </c>
      <c r="L10" s="69" t="s">
        <v>11</v>
      </c>
      <c r="M10" s="69" t="s">
        <v>9</v>
      </c>
      <c r="N10" s="69" t="s">
        <v>15</v>
      </c>
      <c r="O10" s="69" t="s">
        <v>265</v>
      </c>
      <c r="P10" s="69" t="s">
        <v>8</v>
      </c>
      <c r="Q10" s="69" t="s">
        <v>13</v>
      </c>
      <c r="R10" s="69" t="s">
        <v>14</v>
      </c>
      <c r="S10" s="69" t="s">
        <v>133</v>
      </c>
      <c r="T10" s="69" t="s">
        <v>132</v>
      </c>
      <c r="U10" s="69" t="s">
        <v>7</v>
      </c>
      <c r="V10" s="69" t="s">
        <v>12</v>
      </c>
      <c r="W10" s="69" t="s">
        <v>10</v>
      </c>
      <c r="X10" s="69" t="s">
        <v>131</v>
      </c>
      <c r="Y10" s="69" t="s">
        <v>17</v>
      </c>
      <c r="Z10" s="69" t="s">
        <v>18</v>
      </c>
      <c r="AA10" s="69" t="s">
        <v>19</v>
      </c>
      <c r="AB10" s="69" t="s">
        <v>266</v>
      </c>
      <c r="AC10" s="69" t="s">
        <v>267</v>
      </c>
      <c r="AD10" s="69" t="s">
        <v>268</v>
      </c>
      <c r="AE10" s="69" t="s">
        <v>269</v>
      </c>
      <c r="AF10" s="69" t="s">
        <v>270</v>
      </c>
      <c r="AG10" s="69" t="s">
        <v>20</v>
      </c>
      <c r="AH10" s="69" t="s">
        <v>21</v>
      </c>
      <c r="AI10" s="69" t="s">
        <v>22</v>
      </c>
      <c r="AJ10" s="69" t="s">
        <v>264</v>
      </c>
      <c r="AK10" s="69" t="s">
        <v>163</v>
      </c>
    </row>
    <row r="11" spans="1:37" x14ac:dyDescent="0.3">
      <c r="A11" t="s">
        <v>194</v>
      </c>
      <c r="B11" t="s">
        <v>154</v>
      </c>
      <c r="C11" s="4" t="s">
        <v>253</v>
      </c>
      <c r="D11" t="s">
        <v>67</v>
      </c>
      <c r="E11" t="s">
        <v>152</v>
      </c>
      <c r="F11" t="s">
        <v>28</v>
      </c>
      <c r="G11" t="s">
        <v>195</v>
      </c>
      <c r="H11" t="s">
        <v>196</v>
      </c>
      <c r="I11" t="s">
        <v>197</v>
      </c>
      <c r="J11" t="s">
        <v>35</v>
      </c>
      <c r="K11" t="s">
        <v>40</v>
      </c>
      <c r="L11" t="s">
        <v>36</v>
      </c>
      <c r="M11" t="s">
        <v>155</v>
      </c>
      <c r="N11" t="s">
        <v>123</v>
      </c>
      <c r="O11" s="30">
        <v>28137</v>
      </c>
      <c r="P11" t="s">
        <v>76</v>
      </c>
      <c r="Q11" t="s">
        <v>32</v>
      </c>
      <c r="R11" t="s">
        <v>77</v>
      </c>
      <c r="S11" t="s">
        <v>25</v>
      </c>
      <c r="T11">
        <v>7130040721</v>
      </c>
      <c r="U11" t="s">
        <v>30</v>
      </c>
      <c r="V11" t="s">
        <v>31</v>
      </c>
      <c r="W11" t="s">
        <v>29</v>
      </c>
      <c r="X11" t="s">
        <v>55</v>
      </c>
      <c r="Y11">
        <v>40</v>
      </c>
      <c r="Z11" s="71">
        <v>0.35416666666666674</v>
      </c>
      <c r="AA11" s="71">
        <v>0.6875</v>
      </c>
      <c r="AB11" s="70">
        <v>43556</v>
      </c>
      <c r="AC11" s="70">
        <v>43556</v>
      </c>
      <c r="AD11" s="70">
        <v>43616</v>
      </c>
      <c r="AE11" s="70">
        <v>45081</v>
      </c>
      <c r="AF11" s="70">
        <v>45138</v>
      </c>
      <c r="AG11" s="4" t="s">
        <v>173</v>
      </c>
      <c r="AH11">
        <v>1</v>
      </c>
      <c r="AI11">
        <v>4</v>
      </c>
      <c r="AJ11" s="77">
        <v>250</v>
      </c>
      <c r="AK11" t="s">
        <v>198</v>
      </c>
    </row>
    <row r="12" spans="1:37" x14ac:dyDescent="0.3">
      <c r="A12" t="s">
        <v>199</v>
      </c>
      <c r="B12" t="s">
        <v>154</v>
      </c>
      <c r="C12" s="4" t="s">
        <v>254</v>
      </c>
      <c r="D12" t="s">
        <v>68</v>
      </c>
      <c r="E12" t="s">
        <v>29</v>
      </c>
      <c r="F12" t="s">
        <v>23</v>
      </c>
      <c r="G12" t="s">
        <v>200</v>
      </c>
      <c r="H12" t="s">
        <v>201</v>
      </c>
      <c r="I12" t="s">
        <v>202</v>
      </c>
      <c r="J12" t="s">
        <v>42</v>
      </c>
      <c r="K12" t="s">
        <v>33</v>
      </c>
      <c r="L12" t="s">
        <v>26</v>
      </c>
      <c r="M12" t="s">
        <v>165</v>
      </c>
      <c r="N12" t="s">
        <v>170</v>
      </c>
      <c r="O12" s="30">
        <v>30749</v>
      </c>
      <c r="P12" t="s">
        <v>76</v>
      </c>
      <c r="Q12" t="s">
        <v>32</v>
      </c>
      <c r="R12" t="s">
        <v>77</v>
      </c>
      <c r="S12" t="s">
        <v>25</v>
      </c>
      <c r="T12">
        <v>7160039393</v>
      </c>
      <c r="U12" t="s">
        <v>29</v>
      </c>
      <c r="V12" t="s">
        <v>55</v>
      </c>
      <c r="W12" t="s">
        <v>29</v>
      </c>
      <c r="X12" t="s">
        <v>55</v>
      </c>
      <c r="Y12">
        <v>40</v>
      </c>
      <c r="Z12" s="71">
        <v>0.35416666666666674</v>
      </c>
      <c r="AA12" s="71">
        <v>0.6875</v>
      </c>
      <c r="AB12" s="70">
        <v>43556</v>
      </c>
      <c r="AC12" s="70">
        <v>43556</v>
      </c>
      <c r="AD12" s="70">
        <v>43616</v>
      </c>
      <c r="AE12" s="70">
        <v>45081</v>
      </c>
      <c r="AF12" s="70">
        <v>45138</v>
      </c>
      <c r="AG12" s="4" t="s">
        <v>63</v>
      </c>
      <c r="AH12">
        <v>1</v>
      </c>
      <c r="AI12">
        <v>1</v>
      </c>
      <c r="AJ12" s="77">
        <v>420</v>
      </c>
      <c r="AK12" t="s">
        <v>203</v>
      </c>
    </row>
    <row r="13" spans="1:37" x14ac:dyDescent="0.3">
      <c r="A13" t="s">
        <v>204</v>
      </c>
      <c r="B13" t="s">
        <v>154</v>
      </c>
      <c r="C13" s="4" t="s">
        <v>255</v>
      </c>
      <c r="D13" t="s">
        <v>70</v>
      </c>
      <c r="E13" t="s">
        <v>29</v>
      </c>
      <c r="F13" t="s">
        <v>28</v>
      </c>
      <c r="G13" t="s">
        <v>205</v>
      </c>
      <c r="H13" t="s">
        <v>206</v>
      </c>
      <c r="I13" t="s">
        <v>207</v>
      </c>
      <c r="J13" t="s">
        <v>57</v>
      </c>
      <c r="K13" t="s">
        <v>51</v>
      </c>
      <c r="L13" t="s">
        <v>179</v>
      </c>
      <c r="M13" t="s">
        <v>156</v>
      </c>
      <c r="N13" t="s">
        <v>124</v>
      </c>
      <c r="O13" s="30">
        <v>28126</v>
      </c>
      <c r="P13" t="s">
        <v>76</v>
      </c>
      <c r="Q13" t="s">
        <v>32</v>
      </c>
      <c r="R13" t="s">
        <v>77</v>
      </c>
      <c r="S13" t="s">
        <v>25</v>
      </c>
      <c r="T13">
        <v>5110105047</v>
      </c>
      <c r="U13" t="s">
        <v>37</v>
      </c>
      <c r="V13" t="s">
        <v>38</v>
      </c>
      <c r="W13" t="s">
        <v>29</v>
      </c>
      <c r="X13" t="s">
        <v>55</v>
      </c>
      <c r="Y13">
        <v>40</v>
      </c>
      <c r="Z13" s="71">
        <v>0.35416666666666674</v>
      </c>
      <c r="AA13" s="71">
        <v>0.6875</v>
      </c>
      <c r="AB13" s="70">
        <v>43556</v>
      </c>
      <c r="AC13" s="70">
        <v>43556</v>
      </c>
      <c r="AD13" s="70">
        <v>43616</v>
      </c>
      <c r="AE13" s="70">
        <v>45081</v>
      </c>
      <c r="AF13" s="70">
        <v>45138</v>
      </c>
      <c r="AG13" s="4" t="s">
        <v>174</v>
      </c>
      <c r="AH13">
        <v>3</v>
      </c>
      <c r="AI13">
        <v>4</v>
      </c>
      <c r="AJ13" s="77">
        <v>350</v>
      </c>
      <c r="AK13" t="s">
        <v>208</v>
      </c>
    </row>
    <row r="14" spans="1:37" x14ac:dyDescent="0.3">
      <c r="A14" t="s">
        <v>209</v>
      </c>
      <c r="B14" t="s">
        <v>154</v>
      </c>
      <c r="C14" s="4" t="s">
        <v>256</v>
      </c>
      <c r="D14" t="s">
        <v>70</v>
      </c>
      <c r="E14" t="s">
        <v>153</v>
      </c>
      <c r="F14" t="s">
        <v>28</v>
      </c>
      <c r="G14" t="s">
        <v>210</v>
      </c>
      <c r="H14" t="s">
        <v>195</v>
      </c>
      <c r="I14" t="s">
        <v>211</v>
      </c>
      <c r="J14" t="s">
        <v>53</v>
      </c>
      <c r="K14" t="s">
        <v>130</v>
      </c>
      <c r="L14" t="s">
        <v>35</v>
      </c>
      <c r="M14" t="s">
        <v>176</v>
      </c>
      <c r="N14" t="s">
        <v>164</v>
      </c>
      <c r="O14" s="30">
        <v>29816</v>
      </c>
      <c r="P14" t="s">
        <v>76</v>
      </c>
      <c r="Q14" t="s">
        <v>32</v>
      </c>
      <c r="R14" t="s">
        <v>77</v>
      </c>
      <c r="S14" t="s">
        <v>25</v>
      </c>
      <c r="T14">
        <v>7100067025</v>
      </c>
      <c r="U14" t="s">
        <v>41</v>
      </c>
      <c r="V14" t="s">
        <v>43</v>
      </c>
      <c r="W14" t="s">
        <v>72</v>
      </c>
      <c r="X14" t="s">
        <v>34</v>
      </c>
      <c r="Y14">
        <v>40</v>
      </c>
      <c r="Z14" s="71">
        <v>0.35416666666666674</v>
      </c>
      <c r="AA14" s="71">
        <v>0.6875</v>
      </c>
      <c r="AB14" s="70">
        <v>43556</v>
      </c>
      <c r="AC14" s="70">
        <v>43556</v>
      </c>
      <c r="AD14" s="70">
        <v>43616</v>
      </c>
      <c r="AE14" s="70">
        <v>45081</v>
      </c>
      <c r="AF14" s="70">
        <v>45138</v>
      </c>
      <c r="AG14" s="4" t="s">
        <v>174</v>
      </c>
      <c r="AH14">
        <v>3</v>
      </c>
      <c r="AI14">
        <v>4</v>
      </c>
      <c r="AJ14" s="77">
        <v>460</v>
      </c>
      <c r="AK14" t="s">
        <v>212</v>
      </c>
    </row>
    <row r="15" spans="1:37" x14ac:dyDescent="0.3">
      <c r="A15" t="s">
        <v>213</v>
      </c>
      <c r="B15" t="s">
        <v>154</v>
      </c>
      <c r="C15" s="4" t="s">
        <v>257</v>
      </c>
      <c r="D15" t="s">
        <v>70</v>
      </c>
      <c r="E15" t="s">
        <v>60</v>
      </c>
      <c r="F15" t="s">
        <v>28</v>
      </c>
      <c r="G15" t="s">
        <v>214</v>
      </c>
      <c r="H15" t="s">
        <v>202</v>
      </c>
      <c r="I15" t="s">
        <v>215</v>
      </c>
      <c r="J15" t="s">
        <v>54</v>
      </c>
      <c r="K15" t="s">
        <v>39</v>
      </c>
      <c r="L15" t="s">
        <v>42</v>
      </c>
      <c r="M15" t="s">
        <v>157</v>
      </c>
      <c r="N15" t="s">
        <v>125</v>
      </c>
      <c r="O15" s="30">
        <v>32003</v>
      </c>
      <c r="P15" t="s">
        <v>76</v>
      </c>
      <c r="Q15" t="s">
        <v>32</v>
      </c>
      <c r="R15" t="s">
        <v>77</v>
      </c>
      <c r="S15" t="s">
        <v>25</v>
      </c>
      <c r="T15">
        <v>7210073183</v>
      </c>
      <c r="U15" t="s">
        <v>47</v>
      </c>
      <c r="V15" t="s">
        <v>48</v>
      </c>
      <c r="W15" t="s">
        <v>29</v>
      </c>
      <c r="X15" t="s">
        <v>55</v>
      </c>
      <c r="Y15">
        <v>40</v>
      </c>
      <c r="Z15" s="71">
        <v>0.35416666666666674</v>
      </c>
      <c r="AA15" s="71">
        <v>0.6875</v>
      </c>
      <c r="AB15" s="70">
        <v>43556</v>
      </c>
      <c r="AC15" s="70">
        <v>45021</v>
      </c>
      <c r="AD15" s="70">
        <v>45081</v>
      </c>
      <c r="AE15" s="70">
        <v>45021</v>
      </c>
      <c r="AF15" s="70">
        <v>45199</v>
      </c>
      <c r="AG15" s="4" t="s">
        <v>174</v>
      </c>
      <c r="AH15">
        <v>3</v>
      </c>
      <c r="AI15">
        <v>4</v>
      </c>
      <c r="AJ15" s="77">
        <v>460</v>
      </c>
      <c r="AK15" t="s">
        <v>216</v>
      </c>
    </row>
    <row r="16" spans="1:37" x14ac:dyDescent="0.3">
      <c r="A16" t="s">
        <v>217</v>
      </c>
      <c r="B16" t="s">
        <v>154</v>
      </c>
      <c r="C16" s="4" t="s">
        <v>258</v>
      </c>
      <c r="D16" t="s">
        <v>67</v>
      </c>
      <c r="E16" t="s">
        <v>60</v>
      </c>
      <c r="F16" t="s">
        <v>28</v>
      </c>
      <c r="G16" t="s">
        <v>218</v>
      </c>
      <c r="H16" t="s">
        <v>206</v>
      </c>
      <c r="I16" t="s">
        <v>197</v>
      </c>
      <c r="J16" t="s">
        <v>36</v>
      </c>
      <c r="K16" t="s">
        <v>219</v>
      </c>
      <c r="L16" t="s">
        <v>179</v>
      </c>
      <c r="M16" t="s">
        <v>158</v>
      </c>
      <c r="N16" t="s">
        <v>126</v>
      </c>
      <c r="O16" s="30">
        <v>30780</v>
      </c>
      <c r="P16" t="s">
        <v>76</v>
      </c>
      <c r="Q16" t="s">
        <v>32</v>
      </c>
      <c r="R16" t="s">
        <v>77</v>
      </c>
      <c r="S16" t="s">
        <v>25</v>
      </c>
      <c r="T16">
        <v>7210068112</v>
      </c>
      <c r="U16" t="s">
        <v>59</v>
      </c>
      <c r="V16" t="s">
        <v>46</v>
      </c>
      <c r="W16" t="s">
        <v>24</v>
      </c>
      <c r="X16" t="s">
        <v>27</v>
      </c>
      <c r="Y16">
        <v>40</v>
      </c>
      <c r="Z16" s="71">
        <v>0.35416666666666674</v>
      </c>
      <c r="AA16" s="71">
        <v>0.6875</v>
      </c>
      <c r="AB16" s="70">
        <v>43556</v>
      </c>
      <c r="AC16" s="70">
        <v>45020</v>
      </c>
      <c r="AD16" s="70">
        <v>45080</v>
      </c>
      <c r="AE16" s="70">
        <v>45020</v>
      </c>
      <c r="AF16" s="70">
        <v>45199</v>
      </c>
      <c r="AG16" s="4" t="s">
        <v>173</v>
      </c>
      <c r="AH16">
        <v>1</v>
      </c>
      <c r="AI16">
        <v>4</v>
      </c>
      <c r="AJ16" s="77">
        <v>650</v>
      </c>
      <c r="AK16" t="s">
        <v>220</v>
      </c>
    </row>
    <row r="17" spans="1:37" x14ac:dyDescent="0.3">
      <c r="A17" t="s">
        <v>221</v>
      </c>
      <c r="B17" t="s">
        <v>154</v>
      </c>
      <c r="C17" s="4" t="s">
        <v>259</v>
      </c>
      <c r="D17" t="s">
        <v>67</v>
      </c>
      <c r="E17" t="s">
        <v>29</v>
      </c>
      <c r="F17" t="s">
        <v>23</v>
      </c>
      <c r="G17" t="s">
        <v>197</v>
      </c>
      <c r="H17" t="s">
        <v>196</v>
      </c>
      <c r="I17" t="s">
        <v>201</v>
      </c>
      <c r="J17" t="s">
        <v>26</v>
      </c>
      <c r="K17" t="s">
        <v>36</v>
      </c>
      <c r="L17" t="s">
        <v>40</v>
      </c>
      <c r="M17" t="s">
        <v>159</v>
      </c>
      <c r="N17" t="s">
        <v>127</v>
      </c>
      <c r="O17" s="30">
        <v>32874</v>
      </c>
      <c r="P17" t="s">
        <v>76</v>
      </c>
      <c r="Q17" t="s">
        <v>32</v>
      </c>
      <c r="R17" t="s">
        <v>77</v>
      </c>
      <c r="S17" t="s">
        <v>25</v>
      </c>
      <c r="T17">
        <v>7210050456</v>
      </c>
      <c r="U17" t="s">
        <v>44</v>
      </c>
      <c r="V17" t="s">
        <v>45</v>
      </c>
      <c r="W17" t="s">
        <v>187</v>
      </c>
      <c r="X17" t="s">
        <v>188</v>
      </c>
      <c r="Y17">
        <v>40</v>
      </c>
      <c r="Z17" s="71">
        <v>0.35416666666666674</v>
      </c>
      <c r="AA17" s="71">
        <v>0.6875</v>
      </c>
      <c r="AB17" s="70">
        <v>43556</v>
      </c>
      <c r="AC17" s="70">
        <v>43556</v>
      </c>
      <c r="AD17" s="70">
        <v>43616</v>
      </c>
      <c r="AE17" s="70">
        <v>45081</v>
      </c>
      <c r="AF17" s="70">
        <v>45138</v>
      </c>
      <c r="AG17" s="4" t="s">
        <v>173</v>
      </c>
      <c r="AH17">
        <v>1</v>
      </c>
      <c r="AI17">
        <v>4</v>
      </c>
      <c r="AJ17" s="77">
        <v>425</v>
      </c>
      <c r="AK17" t="s">
        <v>222</v>
      </c>
    </row>
    <row r="18" spans="1:37" x14ac:dyDescent="0.3">
      <c r="A18" t="s">
        <v>223</v>
      </c>
      <c r="B18" t="s">
        <v>154</v>
      </c>
      <c r="C18" s="4" t="s">
        <v>260</v>
      </c>
      <c r="D18" t="s">
        <v>67</v>
      </c>
      <c r="E18" t="s">
        <v>153</v>
      </c>
      <c r="F18" t="s">
        <v>23</v>
      </c>
      <c r="G18" t="s">
        <v>224</v>
      </c>
      <c r="H18" t="s">
        <v>205</v>
      </c>
      <c r="I18" t="s">
        <v>195</v>
      </c>
      <c r="J18" t="s">
        <v>35</v>
      </c>
      <c r="K18" t="s">
        <v>65</v>
      </c>
      <c r="L18" t="s">
        <v>51</v>
      </c>
      <c r="M18" t="s">
        <v>177</v>
      </c>
      <c r="N18" t="s">
        <v>128</v>
      </c>
      <c r="O18" s="30">
        <v>30909</v>
      </c>
      <c r="P18" t="s">
        <v>76</v>
      </c>
      <c r="Q18" t="s">
        <v>32</v>
      </c>
      <c r="R18" t="s">
        <v>77</v>
      </c>
      <c r="S18" t="s">
        <v>25</v>
      </c>
      <c r="T18">
        <v>5110096206</v>
      </c>
      <c r="U18" t="s">
        <v>49</v>
      </c>
      <c r="V18" t="s">
        <v>50</v>
      </c>
      <c r="W18" t="s">
        <v>189</v>
      </c>
      <c r="X18" t="s">
        <v>188</v>
      </c>
      <c r="Y18">
        <v>40</v>
      </c>
      <c r="Z18" s="71">
        <v>0.35416666666666674</v>
      </c>
      <c r="AA18" s="71">
        <v>0.6875</v>
      </c>
      <c r="AB18" s="70">
        <v>43556</v>
      </c>
      <c r="AC18" s="70">
        <v>43556</v>
      </c>
      <c r="AD18" s="70">
        <v>43616</v>
      </c>
      <c r="AE18" s="70">
        <v>45081</v>
      </c>
      <c r="AF18" s="70">
        <v>45138</v>
      </c>
      <c r="AG18" s="4" t="s">
        <v>173</v>
      </c>
      <c r="AH18">
        <v>1</v>
      </c>
      <c r="AI18">
        <v>4</v>
      </c>
      <c r="AJ18" s="77">
        <v>352</v>
      </c>
      <c r="AK18" t="s">
        <v>225</v>
      </c>
    </row>
    <row r="19" spans="1:37" x14ac:dyDescent="0.3">
      <c r="A19" t="s">
        <v>228</v>
      </c>
      <c r="B19" t="s">
        <v>154</v>
      </c>
      <c r="C19" s="4" t="s">
        <v>261</v>
      </c>
      <c r="D19" t="s">
        <v>69</v>
      </c>
      <c r="E19" t="s">
        <v>78</v>
      </c>
      <c r="F19" t="s">
        <v>28</v>
      </c>
      <c r="G19" t="s">
        <v>229</v>
      </c>
      <c r="H19" t="s">
        <v>206</v>
      </c>
      <c r="I19" t="s">
        <v>230</v>
      </c>
      <c r="J19" t="s">
        <v>58</v>
      </c>
      <c r="K19" t="s">
        <v>179</v>
      </c>
      <c r="L19" t="s">
        <v>180</v>
      </c>
      <c r="M19" t="s">
        <v>161</v>
      </c>
      <c r="N19" t="s">
        <v>171</v>
      </c>
      <c r="O19" s="30">
        <v>25600</v>
      </c>
      <c r="P19" t="s">
        <v>76</v>
      </c>
      <c r="Q19" t="s">
        <v>32</v>
      </c>
      <c r="R19" t="s">
        <v>77</v>
      </c>
      <c r="S19" t="s">
        <v>25</v>
      </c>
      <c r="T19">
        <v>7160015606</v>
      </c>
      <c r="U19" t="s">
        <v>29</v>
      </c>
      <c r="V19" t="s">
        <v>55</v>
      </c>
      <c r="W19" t="s">
        <v>29</v>
      </c>
      <c r="X19" t="s">
        <v>55</v>
      </c>
      <c r="Y19">
        <v>48</v>
      </c>
      <c r="Z19" s="71">
        <v>0.3125</v>
      </c>
      <c r="AA19" s="71">
        <v>0.71180555555555558</v>
      </c>
      <c r="AB19" s="70">
        <v>43556</v>
      </c>
      <c r="AC19" s="70">
        <v>43556</v>
      </c>
      <c r="AD19" s="70">
        <v>43616</v>
      </c>
      <c r="AE19" s="70">
        <v>45017</v>
      </c>
      <c r="AF19" s="70">
        <v>45199</v>
      </c>
      <c r="AG19" s="4" t="s">
        <v>173</v>
      </c>
      <c r="AH19">
        <v>1</v>
      </c>
      <c r="AI19">
        <v>4</v>
      </c>
      <c r="AJ19" s="77">
        <v>1234</v>
      </c>
      <c r="AK19" t="s">
        <v>231</v>
      </c>
    </row>
    <row r="20" spans="1:37" x14ac:dyDescent="0.3">
      <c r="A20" t="s">
        <v>242</v>
      </c>
      <c r="B20" t="s">
        <v>154</v>
      </c>
      <c r="C20" s="4" t="s">
        <v>1</v>
      </c>
      <c r="D20" t="s">
        <v>175</v>
      </c>
      <c r="E20" t="s">
        <v>178</v>
      </c>
      <c r="F20" t="s">
        <v>28</v>
      </c>
      <c r="G20" t="s">
        <v>195</v>
      </c>
      <c r="H20" t="s">
        <v>243</v>
      </c>
      <c r="I20" t="s">
        <v>244</v>
      </c>
      <c r="J20" t="s">
        <v>245</v>
      </c>
      <c r="K20" t="s">
        <v>246</v>
      </c>
      <c r="L20" t="s">
        <v>26</v>
      </c>
      <c r="M20" t="s">
        <v>162</v>
      </c>
      <c r="N20" t="s">
        <v>172</v>
      </c>
      <c r="O20" s="30">
        <v>31048</v>
      </c>
      <c r="P20" t="s">
        <v>76</v>
      </c>
      <c r="Q20" t="s">
        <v>32</v>
      </c>
      <c r="R20" t="s">
        <v>77</v>
      </c>
      <c r="S20" t="s">
        <v>25</v>
      </c>
      <c r="T20">
        <v>7160010000</v>
      </c>
      <c r="U20" t="s">
        <v>247</v>
      </c>
      <c r="V20" t="s">
        <v>27</v>
      </c>
      <c r="W20" t="s">
        <v>247</v>
      </c>
      <c r="X20" t="s">
        <v>27</v>
      </c>
      <c r="Y20">
        <v>40</v>
      </c>
      <c r="Z20" s="71">
        <v>0.35416666666666674</v>
      </c>
      <c r="AA20" s="71">
        <v>0.1875</v>
      </c>
      <c r="AB20" s="70">
        <v>43556</v>
      </c>
      <c r="AC20" s="70">
        <v>43556</v>
      </c>
      <c r="AD20" s="70">
        <v>43616</v>
      </c>
      <c r="AE20" s="70">
        <v>45017</v>
      </c>
      <c r="AF20" s="70">
        <v>45199</v>
      </c>
      <c r="AG20" s="4" t="s">
        <v>64</v>
      </c>
      <c r="AH20">
        <v>5</v>
      </c>
      <c r="AI20">
        <v>4</v>
      </c>
      <c r="AJ20" s="77">
        <v>1245</v>
      </c>
      <c r="AK20" t="s">
        <v>248</v>
      </c>
    </row>
    <row r="21" spans="1:37" x14ac:dyDescent="0.3">
      <c r="A21" t="s">
        <v>193</v>
      </c>
      <c r="B21" t="s">
        <v>66</v>
      </c>
      <c r="C21" s="4" t="s">
        <v>262</v>
      </c>
      <c r="D21" t="s">
        <v>71</v>
      </c>
      <c r="E21" t="s">
        <v>178</v>
      </c>
      <c r="F21" t="s">
        <v>28</v>
      </c>
      <c r="G21" t="s">
        <v>249</v>
      </c>
      <c r="H21" t="s">
        <v>250</v>
      </c>
      <c r="I21" t="s">
        <v>202</v>
      </c>
      <c r="J21" t="s">
        <v>26</v>
      </c>
      <c r="K21" t="s">
        <v>251</v>
      </c>
      <c r="L21" t="s">
        <v>42</v>
      </c>
      <c r="M21" s="79" t="s">
        <v>162</v>
      </c>
      <c r="N21" s="79" t="s">
        <v>172</v>
      </c>
      <c r="O21" s="30">
        <v>31048</v>
      </c>
      <c r="P21" t="s">
        <v>76</v>
      </c>
      <c r="Q21" t="s">
        <v>32</v>
      </c>
      <c r="R21" t="s">
        <v>77</v>
      </c>
      <c r="S21" t="s">
        <v>25</v>
      </c>
      <c r="T21">
        <v>7160010000</v>
      </c>
      <c r="U21" t="s">
        <v>247</v>
      </c>
      <c r="V21" t="s">
        <v>27</v>
      </c>
      <c r="W21" t="s">
        <v>247</v>
      </c>
      <c r="X21" t="s">
        <v>27</v>
      </c>
      <c r="Y21">
        <v>40</v>
      </c>
      <c r="Z21" s="71">
        <v>0.35416666666666674</v>
      </c>
      <c r="AA21" s="71">
        <v>0.1875</v>
      </c>
      <c r="AB21" s="70">
        <v>43556</v>
      </c>
      <c r="AC21" s="70">
        <v>43556</v>
      </c>
      <c r="AD21" s="70">
        <v>43616</v>
      </c>
      <c r="AE21" s="70">
        <v>45017</v>
      </c>
      <c r="AF21" s="70">
        <v>45199</v>
      </c>
      <c r="AG21" s="4" t="s">
        <v>62</v>
      </c>
      <c r="AH21">
        <v>5</v>
      </c>
      <c r="AI21">
        <v>1</v>
      </c>
      <c r="AJ21" s="77">
        <v>125</v>
      </c>
      <c r="AK21" t="s">
        <v>252</v>
      </c>
    </row>
    <row r="22" spans="1:37" x14ac:dyDescent="0.3">
      <c r="A22" t="s">
        <v>226</v>
      </c>
      <c r="B22" t="s">
        <v>66</v>
      </c>
      <c r="C22" s="4" t="s">
        <v>263</v>
      </c>
      <c r="D22" t="s">
        <v>70</v>
      </c>
      <c r="E22" t="s">
        <v>74</v>
      </c>
      <c r="F22" t="s">
        <v>28</v>
      </c>
      <c r="G22" t="s">
        <v>211</v>
      </c>
      <c r="H22" t="s">
        <v>201</v>
      </c>
      <c r="I22" t="s">
        <v>196</v>
      </c>
      <c r="J22" t="s">
        <v>40</v>
      </c>
      <c r="K22" t="s">
        <v>53</v>
      </c>
      <c r="L22" t="s">
        <v>26</v>
      </c>
      <c r="M22" s="79" t="s">
        <v>160</v>
      </c>
      <c r="N22" s="79" t="s">
        <v>129</v>
      </c>
      <c r="O22" s="30">
        <v>31778</v>
      </c>
      <c r="P22" t="s">
        <v>76</v>
      </c>
      <c r="Q22" t="s">
        <v>32</v>
      </c>
      <c r="R22" t="s">
        <v>77</v>
      </c>
      <c r="S22" t="s">
        <v>25</v>
      </c>
      <c r="T22">
        <v>7130000972</v>
      </c>
      <c r="U22" t="s">
        <v>75</v>
      </c>
      <c r="V22" t="s">
        <v>52</v>
      </c>
      <c r="W22" t="s">
        <v>73</v>
      </c>
      <c r="X22" t="s">
        <v>186</v>
      </c>
      <c r="Y22">
        <v>40</v>
      </c>
      <c r="Z22" s="71">
        <v>0.35416666666666674</v>
      </c>
      <c r="AA22" s="71">
        <v>0.6875</v>
      </c>
      <c r="AB22" s="70">
        <v>43556</v>
      </c>
      <c r="AC22" s="70">
        <v>43556</v>
      </c>
      <c r="AD22" s="70">
        <v>43616</v>
      </c>
      <c r="AE22" s="70">
        <v>45017</v>
      </c>
      <c r="AF22" s="70">
        <v>45199</v>
      </c>
      <c r="AG22" s="4" t="s">
        <v>174</v>
      </c>
      <c r="AH22">
        <v>3</v>
      </c>
      <c r="AI22">
        <v>4</v>
      </c>
      <c r="AJ22" s="77">
        <v>245</v>
      </c>
      <c r="AK22" t="s">
        <v>227</v>
      </c>
    </row>
  </sheetData>
  <sheetProtection algorithmName="SHA-512" hashValue="UqnqDCSeM/Na8qEzp2Umyb5xuSBt2TmwaHR+U231JkaUxJAWB6C0h/ZToR2EIVYEBUhgU28AKkOYwjrD4vqVuA==" saltValue="wmWmvEgRAezs7W7u/HpxGg==" spinCount="100000" sheet="1" scenarios="1" autoFilter="0"/>
  <phoneticPr fontId="30" type="noConversion"/>
  <conditionalFormatting sqref="A11:AK46">
    <cfRule type="expression" dxfId="69" priority="4">
      <formula>CELL("row")=ROW()</formula>
    </cfRule>
    <cfRule type="expression" dxfId="68" priority="6">
      <formula>$B11="X"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3534-F409-4394-AE0B-F2F458AC6820}">
  <sheetPr codeName="Sh_Rename">
    <tabColor rgb="FFFFC000"/>
  </sheetPr>
  <dimension ref="A1:O17"/>
  <sheetViews>
    <sheetView showGridLines="0" zoomScaleNormal="100" workbookViewId="0">
      <pane xSplit="2" ySplit="10" topLeftCell="C11" activePane="bottomRight" state="frozen"/>
      <selection activeCell="A15" sqref="A15"/>
      <selection pane="topRight" activeCell="A15" sqref="A15"/>
      <selection pane="bottomLeft" activeCell="A15" sqref="A15"/>
      <selection pane="bottomRight"/>
    </sheetView>
  </sheetViews>
  <sheetFormatPr defaultColWidth="8.88671875" defaultRowHeight="14.4" x14ac:dyDescent="0.3"/>
  <cols>
    <col min="1" max="1" width="2.109375" customWidth="1"/>
    <col min="2" max="2" width="13.109375" customWidth="1"/>
    <col min="3" max="3" width="11.33203125" bestFit="1" customWidth="1"/>
    <col min="4" max="4" width="60.21875" customWidth="1"/>
    <col min="5" max="5" width="7.5546875" customWidth="1"/>
    <col min="6" max="6" width="17.44140625" customWidth="1"/>
    <col min="7" max="7" width="18.88671875" bestFit="1" customWidth="1"/>
    <col min="8" max="8" width="11.33203125" customWidth="1"/>
    <col min="9" max="9" width="9.88671875" customWidth="1"/>
    <col min="10" max="10" width="7.33203125" customWidth="1"/>
    <col min="11" max="11" width="7.109375" style="9" customWidth="1"/>
    <col min="12" max="13" width="1.88671875" customWidth="1"/>
    <col min="14" max="14" width="6.44140625" bestFit="1" customWidth="1"/>
    <col min="15" max="15" width="6" bestFit="1" customWidth="1"/>
    <col min="16" max="24" width="1.88671875" customWidth="1"/>
  </cols>
  <sheetData>
    <row r="1" spans="1:15" ht="15" thickBot="1" x14ac:dyDescent="0.35">
      <c r="A1" s="14"/>
      <c r="B1" s="21"/>
      <c r="C1" s="45">
        <v>2</v>
      </c>
      <c r="D1" s="46" t="str">
        <f>CHOOSE($C$1,$D$6,$D$7,$D$8)</f>
        <v>=[@Code] &amp;" _ "&amp;VLOOKUP([@Code],MS_Data_TBL,3,FALSE)&amp; IF([@YEAR]&lt;&gt;""," _ "&amp; [@YEAR],"") &amp; IF([@MONTH]&lt;&gt;""," _ " &amp; [@MONTH],"") &amp; IF([@[File Name]]&lt;&gt;""," _ " &amp;[@[File Name]],"") &amp; IF([@Position]&lt;&gt;""," _ " &amp;[@Position],"") &amp; IF([@Copy]&lt;&gt;""," _ " &amp;[@Copy],"")</v>
      </c>
      <c r="E1" s="20"/>
      <c r="K1"/>
    </row>
    <row r="2" spans="1:15" ht="16.2" thickBot="1" x14ac:dyDescent="0.35">
      <c r="B2" s="36"/>
      <c r="C2" s="37"/>
      <c r="D2" s="37" t="s">
        <v>134</v>
      </c>
      <c r="E2" s="38"/>
      <c r="F2" s="86" t="str">
        <f>"Count Of Files is: "&amp;COUNTA(FilesTbl[Old Name])</f>
        <v>Count Of Files is: 7</v>
      </c>
      <c r="G2" s="87"/>
      <c r="K2"/>
      <c r="N2" s="88" t="s">
        <v>181</v>
      </c>
      <c r="O2" s="89"/>
    </row>
    <row r="3" spans="1:15" ht="15" thickBot="1" x14ac:dyDescent="0.35">
      <c r="B3" s="33" t="s">
        <v>232</v>
      </c>
      <c r="C3" s="34"/>
      <c r="D3" s="34"/>
      <c r="E3" s="35"/>
      <c r="F3" s="39"/>
      <c r="G3" s="39"/>
      <c r="H3" s="39"/>
      <c r="I3" s="39"/>
      <c r="J3" s="39"/>
      <c r="K3" s="40"/>
      <c r="N3" s="66">
        <f>LEN(B3)</f>
        <v>60</v>
      </c>
      <c r="O3" s="67">
        <f>N3+N4</f>
        <v>90</v>
      </c>
    </row>
    <row r="4" spans="1:15" s="47" customFormat="1" ht="15" thickBot="1" x14ac:dyDescent="0.35">
      <c r="B4" s="43"/>
      <c r="C4" s="43"/>
      <c r="D4" s="43"/>
      <c r="E4" s="43"/>
      <c r="F4" s="48"/>
      <c r="G4" s="48"/>
      <c r="N4" s="64">
        <f>LEN(D11)</f>
        <v>30</v>
      </c>
      <c r="O4" s="65" t="b">
        <f>O3&lt;250</f>
        <v>1</v>
      </c>
    </row>
    <row r="5" spans="1:15" s="47" customFormat="1" ht="7.95" customHeight="1" x14ac:dyDescent="0.3">
      <c r="B5" s="43"/>
      <c r="C5" s="43"/>
      <c r="D5" s="43"/>
      <c r="E5" s="43"/>
      <c r="F5" s="48"/>
      <c r="G5" s="48"/>
    </row>
    <row r="6" spans="1:15" s="47" customFormat="1" ht="7.95" customHeight="1" x14ac:dyDescent="0.3">
      <c r="B6" s="43"/>
      <c r="C6" s="43">
        <v>1</v>
      </c>
      <c r="D6" s="49" t="s">
        <v>168</v>
      </c>
      <c r="E6" s="43"/>
      <c r="F6" s="48"/>
      <c r="G6" s="48"/>
    </row>
    <row r="7" spans="1:15" s="47" customFormat="1" ht="7.95" customHeight="1" x14ac:dyDescent="0.3">
      <c r="C7" s="43">
        <v>2</v>
      </c>
      <c r="D7" s="49" t="s">
        <v>184</v>
      </c>
    </row>
    <row r="8" spans="1:15" s="47" customFormat="1" ht="7.95" customHeight="1" x14ac:dyDescent="0.3">
      <c r="C8" s="43">
        <v>3</v>
      </c>
      <c r="D8" s="49" t="s">
        <v>185</v>
      </c>
    </row>
    <row r="9" spans="1:15" s="47" customFormat="1" ht="7.95" customHeight="1" x14ac:dyDescent="0.3"/>
    <row r="10" spans="1:15" x14ac:dyDescent="0.3">
      <c r="B10" s="3" t="s">
        <v>135</v>
      </c>
      <c r="C10" t="s">
        <v>136</v>
      </c>
      <c r="D10" s="78" t="s">
        <v>137</v>
      </c>
      <c r="E10" t="s">
        <v>79</v>
      </c>
      <c r="F10" t="s">
        <v>2</v>
      </c>
      <c r="G10" s="31" t="s">
        <v>140</v>
      </c>
      <c r="H10" s="31" t="s">
        <v>138</v>
      </c>
      <c r="I10" s="31" t="s">
        <v>139</v>
      </c>
      <c r="J10" s="32" t="s">
        <v>141</v>
      </c>
      <c r="K10" s="9" t="s">
        <v>151</v>
      </c>
    </row>
    <row r="11" spans="1:15" x14ac:dyDescent="0.3">
      <c r="B11" s="60" t="s">
        <v>235</v>
      </c>
      <c r="C11" s="4" t="s">
        <v>169</v>
      </c>
      <c r="D11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ABC004 _ AHMED ALI _ REGISTRAR</v>
      </c>
      <c r="E11" s="4" t="str">
        <f>LEFT(FilesTbl[[#This Row],[Old Name]],6)</f>
        <v>ABC004</v>
      </c>
      <c r="F11" s="57" t="str">
        <f>VLOOKUP(FilesTbl[[#This Row],[Code]],MS_Data_TBL[],4,FALSE)</f>
        <v>REGISTRAR</v>
      </c>
      <c r="G11" s="58"/>
      <c r="H11" s="61"/>
      <c r="I11" s="62"/>
      <c r="J11" s="59"/>
      <c r="K11" s="59"/>
    </row>
    <row r="12" spans="1:15" x14ac:dyDescent="0.3">
      <c r="B12" s="60" t="s">
        <v>236</v>
      </c>
      <c r="C12" s="4" t="s">
        <v>169</v>
      </c>
      <c r="D12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ABC015 _ FATIMA MOHAMMED _ CLEANER</v>
      </c>
      <c r="E12" s="4" t="str">
        <f>LEFT(FilesTbl[[#This Row],[Old Name]],6)</f>
        <v>ABC015</v>
      </c>
      <c r="F12" s="57" t="str">
        <f>VLOOKUP(FilesTbl[[#This Row],[Code]],MS_Data_TBL[],4,FALSE)</f>
        <v>CLEANER</v>
      </c>
      <c r="G12" s="58"/>
      <c r="H12" s="61"/>
      <c r="I12" s="62"/>
      <c r="J12" s="59"/>
      <c r="K12" s="59"/>
    </row>
    <row r="13" spans="1:15" x14ac:dyDescent="0.3">
      <c r="B13" s="60" t="s">
        <v>237</v>
      </c>
      <c r="C13" s="4" t="s">
        <v>169</v>
      </c>
      <c r="D13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ABC029 _ OMAR ABDULLAH _ NURSE</v>
      </c>
      <c r="E13" s="4" t="str">
        <f>LEFT(FilesTbl[[#This Row],[Old Name]],6)</f>
        <v>ABC029</v>
      </c>
      <c r="F13" s="57" t="str">
        <f>VLOOKUP(FilesTbl[[#This Row],[Code]],MS_Data_TBL[],4,FALSE)</f>
        <v>NURSE</v>
      </c>
      <c r="G13" s="58"/>
      <c r="H13" s="61"/>
      <c r="I13" s="62"/>
      <c r="J13" s="59"/>
      <c r="K13" s="59"/>
    </row>
    <row r="14" spans="1:15" x14ac:dyDescent="0.3">
      <c r="B14" s="60" t="s">
        <v>238</v>
      </c>
      <c r="C14" s="4" t="s">
        <v>169</v>
      </c>
      <c r="D14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ABC035 _ AISHA AHMED _ NURSE</v>
      </c>
      <c r="E14" s="4" t="str">
        <f>LEFT(FilesTbl[[#This Row],[Old Name]],6)</f>
        <v>ABC035</v>
      </c>
      <c r="F14" s="57" t="str">
        <f>VLOOKUP(FilesTbl[[#This Row],[Code]],MS_Data_TBL[],4,FALSE)</f>
        <v>NURSE</v>
      </c>
      <c r="G14" s="58"/>
      <c r="H14" s="61"/>
      <c r="I14" s="62"/>
      <c r="J14" s="59"/>
      <c r="K14" s="59"/>
    </row>
    <row r="15" spans="1:15" x14ac:dyDescent="0.3">
      <c r="B15" s="60" t="s">
        <v>239</v>
      </c>
      <c r="C15" s="4" t="s">
        <v>169</v>
      </c>
      <c r="D15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ABC050 _ YOUSSEF MAHMOUD _ NURSE</v>
      </c>
      <c r="E15" s="4" t="str">
        <f>LEFT(FilesTbl[[#This Row],[Old Name]],6)</f>
        <v>ABC050</v>
      </c>
      <c r="F15" s="57" t="str">
        <f>VLOOKUP(FilesTbl[[#This Row],[Code]],MS_Data_TBL[],4,FALSE)</f>
        <v>NURSE</v>
      </c>
      <c r="G15" s="58"/>
      <c r="H15" s="61"/>
      <c r="I15" s="62"/>
      <c r="J15" s="59"/>
      <c r="K15" s="59"/>
    </row>
    <row r="16" spans="1:15" x14ac:dyDescent="0.3">
      <c r="B16" s="60" t="s">
        <v>240</v>
      </c>
      <c r="C16" s="4" t="s">
        <v>169</v>
      </c>
      <c r="D16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ABC055 _ NOURA ABDULLAH _ REGISTRAR</v>
      </c>
      <c r="E16" s="4" t="str">
        <f>LEFT(FilesTbl[[#This Row],[Old Name]],6)</f>
        <v>ABC055</v>
      </c>
      <c r="F16" s="57" t="str">
        <f>VLOOKUP(FilesTbl[[#This Row],[Code]],MS_Data_TBL[],4,FALSE)</f>
        <v>REGISTRAR</v>
      </c>
      <c r="G16" s="58"/>
      <c r="H16" s="61"/>
      <c r="I16" s="62"/>
      <c r="J16" s="59"/>
      <c r="K16" s="59"/>
    </row>
    <row r="17" spans="2:11" x14ac:dyDescent="0.3">
      <c r="B17" s="60" t="s">
        <v>241</v>
      </c>
      <c r="C17" s="4" t="s">
        <v>169</v>
      </c>
      <c r="D17" s="63" t="str">
        <f>FilesTbl[[#This Row],[Code]] &amp;" _ "&amp;VLOOKUP(FilesTbl[[#This Row],[Code]],MS_Data_TBL[],3,FALSE)&amp; IF(FilesTbl[[#This Row],[YEAR]]&lt;&gt;""," _ "&amp; FilesTbl[[#This Row],[YEAR]],"") &amp; IF(FilesTbl[[#This Row],[MONTH]]&lt;&gt;""," _ " &amp; FilesTbl[[#This Row],[MONTH]],"") &amp; IF(FilesTbl[[#This Row],[File Name]]&lt;&gt;""," _ " &amp;FilesTbl[[#This Row],[File Name]],"") &amp; IF(FilesTbl[[#This Row],[Position]]&lt;&gt;""," _ " &amp;FilesTbl[[#This Row],[Position]],"") &amp; IF(FilesTbl[[#This Row],[Copy]]&lt;&gt;""," _ " &amp;FilesTbl[[#This Row],[Copy]],"")</f>
        <v>ABC058 _ HASSAN ALI _ REGISTRAR</v>
      </c>
      <c r="E17" s="4" t="str">
        <f>LEFT(FilesTbl[[#This Row],[Old Name]],6)</f>
        <v>ABC058</v>
      </c>
      <c r="F17" s="57" t="str">
        <f>VLOOKUP(FilesTbl[[#This Row],[Code]],MS_Data_TBL[],4,FALSE)</f>
        <v>REGISTRAR</v>
      </c>
      <c r="G17" s="58"/>
      <c r="H17" s="61"/>
      <c r="I17" s="62"/>
      <c r="J17" s="59"/>
      <c r="K17" s="59"/>
    </row>
  </sheetData>
  <sheetProtection algorithmName="SHA-512" hashValue="TavYKOkr4+RypnuoD46cty+dDRWp52UBKaQGtjgm819u2GTor10lojxyudSXEZkyut1feJws4yykqSdg3meR+g==" saltValue="usvaPrq+3jbh54Is6OJkhQ==" spinCount="100000" sheet="1" scenarios="1" autoFilter="0"/>
  <mergeCells count="2">
    <mergeCell ref="F2:G2"/>
    <mergeCell ref="N2:O2"/>
  </mergeCells>
  <phoneticPr fontId="3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A5227-51B3-4C02-A1FC-271206980826}">
  <sheetPr codeName="Sh_CopyFiles">
    <tabColor rgb="FFFFC000"/>
  </sheetPr>
  <dimension ref="A1:AA512"/>
  <sheetViews>
    <sheetView zoomScale="80" zoomScaleNormal="80" workbookViewId="0">
      <pane xSplit="2" ySplit="10" topLeftCell="C11" activePane="bottomRight" state="frozen"/>
      <selection activeCell="A15" sqref="A15"/>
      <selection pane="topRight" activeCell="A15" sqref="A15"/>
      <selection pane="bottomLeft" activeCell="A15" sqref="A15"/>
      <selection pane="bottomRight" activeCell="A13" sqref="A13"/>
    </sheetView>
  </sheetViews>
  <sheetFormatPr defaultColWidth="0" defaultRowHeight="0" customHeight="1" zeroHeight="1" x14ac:dyDescent="0.3"/>
  <cols>
    <col min="1" max="6" width="40.6640625" customWidth="1"/>
    <col min="7" max="7" width="8.6640625" customWidth="1"/>
    <col min="8" max="8" width="9.33203125" customWidth="1"/>
    <col min="9" max="9" width="2.88671875" customWidth="1"/>
    <col min="10" max="27" width="8.88671875" hidden="1" customWidth="1"/>
    <col min="28" max="16384" width="8.88671875" hidden="1"/>
  </cols>
  <sheetData>
    <row r="1" spans="1:27" ht="2.1" customHeight="1" x14ac:dyDescent="0.3">
      <c r="C1" s="15"/>
      <c r="F1" s="13"/>
      <c r="G1" s="4"/>
    </row>
    <row r="2" spans="1:27" ht="2.1" customHeight="1" x14ac:dyDescent="0.3">
      <c r="C2" s="15"/>
      <c r="F2" s="13"/>
      <c r="G2" s="4"/>
    </row>
    <row r="3" spans="1:27" ht="2.1" customHeight="1" x14ac:dyDescent="0.3">
      <c r="C3" s="15"/>
      <c r="F3" s="13"/>
      <c r="G3" s="4"/>
    </row>
    <row r="4" spans="1:27" ht="2.1" customHeight="1" x14ac:dyDescent="0.3">
      <c r="C4" s="15"/>
      <c r="F4" s="13"/>
      <c r="G4" s="4"/>
    </row>
    <row r="5" spans="1:27" ht="2.1" customHeight="1" x14ac:dyDescent="0.3">
      <c r="C5" s="15"/>
      <c r="F5" s="13"/>
      <c r="G5" s="4"/>
    </row>
    <row r="6" spans="1:27" ht="2.1" customHeight="1" x14ac:dyDescent="0.3">
      <c r="C6" s="15"/>
      <c r="F6" s="13"/>
      <c r="G6" s="4"/>
    </row>
    <row r="7" spans="1:27" ht="2.1" customHeight="1" x14ac:dyDescent="0.3">
      <c r="C7" s="15"/>
      <c r="F7" s="13"/>
      <c r="G7" s="4"/>
    </row>
    <row r="8" spans="1:27" ht="2.1" customHeight="1" x14ac:dyDescent="0.3">
      <c r="C8" s="15"/>
      <c r="F8" s="13"/>
      <c r="G8" s="4"/>
    </row>
    <row r="9" spans="1:27" ht="2.1" customHeight="1" x14ac:dyDescent="0.3">
      <c r="C9" s="15"/>
      <c r="F9" s="13"/>
      <c r="G9" s="4"/>
    </row>
    <row r="10" spans="1:27" ht="45" customHeight="1" thickBot="1" x14ac:dyDescent="0.35">
      <c r="A10" s="28" t="s">
        <v>143</v>
      </c>
      <c r="B10" s="24" t="s">
        <v>144</v>
      </c>
      <c r="C10" s="23" t="s">
        <v>145</v>
      </c>
      <c r="D10" s="22" t="s">
        <v>146</v>
      </c>
      <c r="E10" s="25" t="s">
        <v>234</v>
      </c>
      <c r="F10" s="26" t="s">
        <v>140</v>
      </c>
      <c r="G10" s="27" t="s">
        <v>147</v>
      </c>
      <c r="H10" s="56" t="s">
        <v>80</v>
      </c>
    </row>
    <row r="11" spans="1:27" s="2" customFormat="1" ht="45" customHeight="1" x14ac:dyDescent="0.3">
      <c r="A11" s="1" t="str">
        <f>IF(CopyTbl[[#This Row],[File Name]]="","",CopyTbl[[#This Row],[Source Path]]&amp;"\"&amp;CopyTbl[[#This Row],[File Name]]&amp;CopyTbl[[#This Row],[Extend]])</f>
        <v>C:\Users\ahmed\OneDrive - ahha985\MO7RAR\Mo7rar Staff\Scamer\ABC004 _ AHMED ALI _ 2023 _ 05 _ AS _ REGISTRAR.pdf</v>
      </c>
      <c r="B11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Staff\ABC004\ABC004 _ AHMED ALI _ 2023 _ 05 _ AS _ REGISTRAR.pdf</v>
      </c>
      <c r="C11" s="29" t="str">
        <f>IF(CopyTbl[[#This Row],[File Name]]="","",Rename!$B$3)</f>
        <v>C:\Users\ahmed\OneDrive - ahha985\MO7RAR\Mo7rar Staff\Scamer</v>
      </c>
      <c r="D11" s="16" t="s">
        <v>233</v>
      </c>
      <c r="E11" s="17" t="str">
        <f>IF(CopyTbl[[#This Row],[File Name]]="","",LEFT(CopyTbl[[#This Row],[File Name]],6))</f>
        <v>ABC004</v>
      </c>
      <c r="F11" s="1" t="str">
        <f>IFERROR(IF(FilesTbl[[#This Row],[Old Name]]="","",FilesTbl[[#This Row],[Old Name]]),"")</f>
        <v>ABC004 _ AHMED ALI _ 2023 _ 05 _ AS _ REGISTRAR</v>
      </c>
      <c r="G11" s="18" t="str">
        <f>IFERROR(IF(FilesTbl[[#This Row],[Extension]]="","",FilesTbl[[#This Row],[Extension]]),"")</f>
        <v>.pdf</v>
      </c>
      <c r="H11" t="str">
        <f>IFERROR(VLOOKUP(LEFT(CopyTbl[[#This Row],[File Name]],6),MS_Data_TBL[],2,FALSE),"")</f>
        <v>A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s="2" customFormat="1" ht="45" customHeight="1" x14ac:dyDescent="0.3">
      <c r="A12" s="1" t="str">
        <f>IF(CopyTbl[[#This Row],[File Name]]="","",CopyTbl[[#This Row],[Source Path]]&amp;"\"&amp;CopyTbl[[#This Row],[File Name]]&amp;CopyTbl[[#This Row],[Extend]])</f>
        <v>C:\Users\ahmed\OneDrive - ahha985\MO7RAR\Mo7rar Staff\Scamer\ABC015 _ FATIMA MOHAMMED _ 2023 _ 05 _ AS _ CLEANER.pdf</v>
      </c>
      <c r="B12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Staff\ABC015\ABC015 _ FATIMA MOHAMMED _ 2023 _ 05 _ AS _ CLEANER.pdf</v>
      </c>
      <c r="C12" s="29" t="str">
        <f>IF(CopyTbl[[#This Row],[File Name]]="","",Rename!$B$3)</f>
        <v>C:\Users\ahmed\OneDrive - ahha985\MO7RAR\Mo7rar Staff\Scamer</v>
      </c>
      <c r="D12" s="19" t="str">
        <f>IF(C12="","",D11)</f>
        <v>C:\Users\ahmed\OneDrive - ahha985\MO7RAR\Mo7rar Staff\</v>
      </c>
      <c r="E12" s="17" t="str">
        <f>IF(CopyTbl[[#This Row],[File Name]]="","",LEFT(CopyTbl[[#This Row],[File Name]],6))</f>
        <v>ABC015</v>
      </c>
      <c r="F12" s="1" t="str">
        <f>IFERROR(IF(FilesTbl[[#This Row],[Old Name]]="","",FilesTbl[[#This Row],[Old Name]]),"")</f>
        <v>ABC015 _ FATIMA MOHAMMED _ 2023 _ 05 _ AS _ CLEANER</v>
      </c>
      <c r="G12" s="18" t="str">
        <f>IFERROR(IF(FilesTbl[[#This Row],[Extension]]="","",FilesTbl[[#This Row],[Extension]]),"")</f>
        <v>.pdf</v>
      </c>
      <c r="H12" t="str">
        <f>IFERROR(VLOOKUP(LEFT(CopyTbl[[#This Row],[File Name]],6),MS_Data_TBL[],2,FALSE),"")</f>
        <v>A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45" customHeight="1" x14ac:dyDescent="0.3">
      <c r="A13" s="1" t="str">
        <f>IF(CopyTbl[[#This Row],[File Name]]="","",CopyTbl[[#This Row],[Source Path]]&amp;"\"&amp;CopyTbl[[#This Row],[File Name]]&amp;CopyTbl[[#This Row],[Extend]])</f>
        <v>C:\Users\ahmed\OneDrive - ahha985\MO7RAR\Mo7rar Staff\Scamer\ABC029 _ OMAR ABDULLAH _ 2023 _ 05 _ AS _ NURSE.pdf</v>
      </c>
      <c r="B13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Staff\ABC029\ABC029 _ OMAR ABDULLAH _ 2023 _ 05 _ AS _ NURSE.pdf</v>
      </c>
      <c r="C13" s="29" t="str">
        <f>IF(CopyTbl[[#This Row],[File Name]]="","",Rename!$B$3)</f>
        <v>C:\Users\ahmed\OneDrive - ahha985\MO7RAR\Mo7rar Staff\Scamer</v>
      </c>
      <c r="D13" s="19" t="str">
        <f t="shared" ref="D13:D76" si="0">IF(C13="","",D12)</f>
        <v>C:\Users\ahmed\OneDrive - ahha985\MO7RAR\Mo7rar Staff\</v>
      </c>
      <c r="E13" s="17" t="str">
        <f>IF(CopyTbl[[#This Row],[File Name]]="","",LEFT(CopyTbl[[#This Row],[File Name]],6))</f>
        <v>ABC029</v>
      </c>
      <c r="F13" s="1" t="str">
        <f>IFERROR(IF(FilesTbl[[#This Row],[Old Name]]="","",FilesTbl[[#This Row],[Old Name]]),"")</f>
        <v>ABC029 _ OMAR ABDULLAH _ 2023 _ 05 _ AS _ NURSE</v>
      </c>
      <c r="G13" s="18" t="str">
        <f>IFERROR(IF(FilesTbl[[#This Row],[Extension]]="","",FilesTbl[[#This Row],[Extension]]),"")</f>
        <v>.pdf</v>
      </c>
      <c r="H13" t="str">
        <f>IFERROR(VLOOKUP(LEFT(CopyTbl[[#This Row],[File Name]],6),MS_Data_TBL[],2,FALSE),"")</f>
        <v>A</v>
      </c>
    </row>
    <row r="14" spans="1:27" ht="45" customHeight="1" x14ac:dyDescent="0.3">
      <c r="A14" s="1" t="str">
        <f>IF(CopyTbl[[#This Row],[File Name]]="","",CopyTbl[[#This Row],[Source Path]]&amp;"\"&amp;CopyTbl[[#This Row],[File Name]]&amp;CopyTbl[[#This Row],[Extend]])</f>
        <v>C:\Users\ahmed\OneDrive - ahha985\MO7RAR\Mo7rar Staff\Scamer\ABC035 _ AISHA AHMED _ 2023 _ 05 _ AS _ NURSE.pdf</v>
      </c>
      <c r="B14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Staff\ABC035\ABC035 _ AISHA AHMED _ 2023 _ 05 _ AS _ NURSE.pdf</v>
      </c>
      <c r="C14" s="29" t="str">
        <f>IF(CopyTbl[[#This Row],[File Name]]="","",Rename!$B$3)</f>
        <v>C:\Users\ahmed\OneDrive - ahha985\MO7RAR\Mo7rar Staff\Scamer</v>
      </c>
      <c r="D14" s="19" t="str">
        <f t="shared" si="0"/>
        <v>C:\Users\ahmed\OneDrive - ahha985\MO7RAR\Mo7rar Staff\</v>
      </c>
      <c r="E14" s="17" t="str">
        <f>IF(CopyTbl[[#This Row],[File Name]]="","",LEFT(CopyTbl[[#This Row],[File Name]],6))</f>
        <v>ABC035</v>
      </c>
      <c r="F14" s="1" t="str">
        <f>IFERROR(IF(FilesTbl[[#This Row],[Old Name]]="","",FilesTbl[[#This Row],[Old Name]]),"")</f>
        <v>ABC035 _ AISHA AHMED _ 2023 _ 05 _ AS _ NURSE</v>
      </c>
      <c r="G14" s="18" t="str">
        <f>IFERROR(IF(FilesTbl[[#This Row],[Extension]]="","",FilesTbl[[#This Row],[Extension]]),"")</f>
        <v>.pdf</v>
      </c>
      <c r="H14" t="str">
        <f>IFERROR(VLOOKUP(LEFT(CopyTbl[[#This Row],[File Name]],6),MS_Data_TBL[],2,FALSE),"")</f>
        <v>A</v>
      </c>
    </row>
    <row r="15" spans="1:27" ht="45" customHeight="1" x14ac:dyDescent="0.3">
      <c r="A15" s="1" t="str">
        <f>IF(CopyTbl[[#This Row],[File Name]]="","",CopyTbl[[#This Row],[Source Path]]&amp;"\"&amp;CopyTbl[[#This Row],[File Name]]&amp;CopyTbl[[#This Row],[Extend]])</f>
        <v>C:\Users\ahmed\OneDrive - ahha985\MO7RAR\Mo7rar Staff\Scamer\ABC050 _ YOUSSEF MAHMOUD _ 2023 _ 05 _ AS _ NURSE.pdf</v>
      </c>
      <c r="B15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Staff\ABC050\ABC050 _ YOUSSEF MAHMOUD _ 2023 _ 05 _ AS _ NURSE.pdf</v>
      </c>
      <c r="C15" s="29" t="str">
        <f>IF(CopyTbl[[#This Row],[File Name]]="","",Rename!$B$3)</f>
        <v>C:\Users\ahmed\OneDrive - ahha985\MO7RAR\Mo7rar Staff\Scamer</v>
      </c>
      <c r="D15" s="19" t="str">
        <f t="shared" si="0"/>
        <v>C:\Users\ahmed\OneDrive - ahha985\MO7RAR\Mo7rar Staff\</v>
      </c>
      <c r="E15" s="17" t="str">
        <f>IF(CopyTbl[[#This Row],[File Name]]="","",LEFT(CopyTbl[[#This Row],[File Name]],6))</f>
        <v>ABC050</v>
      </c>
      <c r="F15" s="1" t="str">
        <f>IFERROR(IF(FilesTbl[[#This Row],[Old Name]]="","",FilesTbl[[#This Row],[Old Name]]),"")</f>
        <v>ABC050 _ YOUSSEF MAHMOUD _ 2023 _ 05 _ AS _ NURSE</v>
      </c>
      <c r="G15" s="18" t="str">
        <f>IFERROR(IF(FilesTbl[[#This Row],[Extension]]="","",FilesTbl[[#This Row],[Extension]]),"")</f>
        <v>.pdf</v>
      </c>
      <c r="H15" t="str">
        <f>IFERROR(VLOOKUP(LEFT(CopyTbl[[#This Row],[File Name]],6),MS_Data_TBL[],2,FALSE),"")</f>
        <v>A</v>
      </c>
    </row>
    <row r="16" spans="1:27" ht="45" customHeight="1" x14ac:dyDescent="0.3">
      <c r="A16" s="1" t="str">
        <f>IF(CopyTbl[[#This Row],[File Name]]="","",CopyTbl[[#This Row],[Source Path]]&amp;"\"&amp;CopyTbl[[#This Row],[File Name]]&amp;CopyTbl[[#This Row],[Extend]])</f>
        <v>C:\Users\ahmed\OneDrive - ahha985\MO7RAR\Mo7rar Staff\Scamer\ABC055 _ NOURA ABDULLAH _ 2023 _ 05 _ AS _ REGISTRAR.pdf</v>
      </c>
      <c r="B16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Staff\ABC055\ABC055 _ NOURA ABDULLAH _ 2023 _ 05 _ AS _ REGISTRAR.pdf</v>
      </c>
      <c r="C16" s="29" t="str">
        <f>IF(CopyTbl[[#This Row],[File Name]]="","",Rename!$B$3)</f>
        <v>C:\Users\ahmed\OneDrive - ahha985\MO7RAR\Mo7rar Staff\Scamer</v>
      </c>
      <c r="D16" s="19" t="str">
        <f t="shared" si="0"/>
        <v>C:\Users\ahmed\OneDrive - ahha985\MO7RAR\Mo7rar Staff\</v>
      </c>
      <c r="E16" s="17" t="str">
        <f>IF(CopyTbl[[#This Row],[File Name]]="","",LEFT(CopyTbl[[#This Row],[File Name]],6))</f>
        <v>ABC055</v>
      </c>
      <c r="F16" s="1" t="str">
        <f>IFERROR(IF(FilesTbl[[#This Row],[Old Name]]="","",FilesTbl[[#This Row],[Old Name]]),"")</f>
        <v>ABC055 _ NOURA ABDULLAH _ 2023 _ 05 _ AS _ REGISTRAR</v>
      </c>
      <c r="G16" s="18" t="str">
        <f>IFERROR(IF(FilesTbl[[#This Row],[Extension]]="","",FilesTbl[[#This Row],[Extension]]),"")</f>
        <v>.pdf</v>
      </c>
      <c r="H16" t="str">
        <f>IFERROR(VLOOKUP(LEFT(CopyTbl[[#This Row],[File Name]],6),MS_Data_TBL[],2,FALSE),"")</f>
        <v>A</v>
      </c>
    </row>
    <row r="17" spans="1:8" ht="45" customHeight="1" x14ac:dyDescent="0.3">
      <c r="A17" s="1" t="str">
        <f>IF(CopyTbl[[#This Row],[File Name]]="","",CopyTbl[[#This Row],[Source Path]]&amp;"\"&amp;CopyTbl[[#This Row],[File Name]]&amp;CopyTbl[[#This Row],[Extend]])</f>
        <v>C:\Users\ahmed\OneDrive - ahha985\MO7RAR\Mo7rar Staff\Scamer\ABC058 _ HASSAN ALI _ 2023 _ 05 _ AS _ REGISTRAR.pdf</v>
      </c>
      <c r="B17" s="2" t="str">
        <f>IF(CopyTbl[[#This Row],[File Name]]="","",CopyTbl[[#This Row],[Destination Path]]&amp;CopyTbl[[#This Row],[Employee Folder Name]]&amp;"\"&amp;CopyTbl[[#This Row],[File Name]]&amp;CopyTbl[[#This Row],[Extend]])</f>
        <v>C:\Users\ahmed\OneDrive - ahha985\MO7RAR\Mo7rar Staff\ABC058\ABC058 _ HASSAN ALI _ 2023 _ 05 _ AS _ REGISTRAR.pdf</v>
      </c>
      <c r="C17" s="29" t="str">
        <f>IF(CopyTbl[[#This Row],[File Name]]="","",Rename!$B$3)</f>
        <v>C:\Users\ahmed\OneDrive - ahha985\MO7RAR\Mo7rar Staff\Scamer</v>
      </c>
      <c r="D17" s="19" t="str">
        <f t="shared" si="0"/>
        <v>C:\Users\ahmed\OneDrive - ahha985\MO7RAR\Mo7rar Staff\</v>
      </c>
      <c r="E17" s="17" t="str">
        <f>IF(CopyTbl[[#This Row],[File Name]]="","",LEFT(CopyTbl[[#This Row],[File Name]],6))</f>
        <v>ABC058</v>
      </c>
      <c r="F17" s="1" t="str">
        <f>IFERROR(IF(FilesTbl[[#This Row],[Old Name]]="","",FilesTbl[[#This Row],[Old Name]]),"")</f>
        <v>ABC058 _ HASSAN ALI _ 2023 _ 05 _ AS _ REGISTRAR</v>
      </c>
      <c r="G17" s="18" t="str">
        <f>IFERROR(IF(FilesTbl[[#This Row],[Extension]]="","",FilesTbl[[#This Row],[Extension]]),"")</f>
        <v>.pdf</v>
      </c>
      <c r="H17" t="str">
        <f>IFERROR(VLOOKUP(LEFT(CopyTbl[[#This Row],[File Name]],6),MS_Data_TBL[],2,FALSE),"")</f>
        <v>A</v>
      </c>
    </row>
    <row r="18" spans="1:8" ht="45" customHeight="1" x14ac:dyDescent="0.3">
      <c r="A18" s="1" t="str">
        <f>IF(CopyTbl[[#This Row],[File Name]]="","",CopyTbl[[#This Row],[Source Path]]&amp;"\"&amp;CopyTbl[[#This Row],[File Name]]&amp;CopyTbl[[#This Row],[Extend]])</f>
        <v/>
      </c>
      <c r="B1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" s="29" t="str">
        <f>IF(CopyTbl[[#This Row],[File Name]]="","",Rename!$B$3)</f>
        <v/>
      </c>
      <c r="D18" s="19" t="str">
        <f t="shared" si="0"/>
        <v/>
      </c>
      <c r="E18" s="17" t="str">
        <f>IF(CopyTbl[[#This Row],[File Name]]="","",LEFT(CopyTbl[[#This Row],[File Name]],6))</f>
        <v/>
      </c>
      <c r="F18" s="1" t="str">
        <f>IFERROR(IF(FilesTbl[[#This Row],[Old Name]]="","",FilesTbl[[#This Row],[Old Name]]),"")</f>
        <v/>
      </c>
      <c r="G18" s="18" t="str">
        <f>IFERROR(IF(FilesTbl[[#This Row],[Extension]]="","",FilesTbl[[#This Row],[Extension]]),"")</f>
        <v/>
      </c>
      <c r="H18" t="str">
        <f>IFERROR(VLOOKUP(LEFT(CopyTbl[[#This Row],[File Name]],6),MS_Data_TBL[],2,FALSE),"")</f>
        <v/>
      </c>
    </row>
    <row r="19" spans="1:8" ht="45" customHeight="1" x14ac:dyDescent="0.3">
      <c r="A19" s="1" t="str">
        <f>IF(CopyTbl[[#This Row],[File Name]]="","",CopyTbl[[#This Row],[Source Path]]&amp;"\"&amp;CopyTbl[[#This Row],[File Name]]&amp;CopyTbl[[#This Row],[Extend]])</f>
        <v/>
      </c>
      <c r="B1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" s="29" t="str">
        <f>IF(CopyTbl[[#This Row],[File Name]]="","",Rename!$B$3)</f>
        <v/>
      </c>
      <c r="D19" s="19" t="str">
        <f t="shared" si="0"/>
        <v/>
      </c>
      <c r="E19" s="17" t="str">
        <f>IF(CopyTbl[[#This Row],[File Name]]="","",LEFT(CopyTbl[[#This Row],[File Name]],6))</f>
        <v/>
      </c>
      <c r="F19" s="1" t="str">
        <f>IFERROR(IF(FilesTbl[[#This Row],[Old Name]]="","",FilesTbl[[#This Row],[Old Name]]),"")</f>
        <v/>
      </c>
      <c r="G19" s="18" t="str">
        <f>IFERROR(IF(FilesTbl[[#This Row],[Extension]]="","",FilesTbl[[#This Row],[Extension]]),"")</f>
        <v/>
      </c>
      <c r="H19" t="str">
        <f>IFERROR(VLOOKUP(LEFT(CopyTbl[[#This Row],[File Name]],6),MS_Data_TBL[],2,FALSE),"")</f>
        <v/>
      </c>
    </row>
    <row r="20" spans="1:8" ht="45" customHeight="1" x14ac:dyDescent="0.3">
      <c r="A20" s="1" t="str">
        <f>IF(CopyTbl[[#This Row],[File Name]]="","",CopyTbl[[#This Row],[Source Path]]&amp;"\"&amp;CopyTbl[[#This Row],[File Name]]&amp;CopyTbl[[#This Row],[Extend]])</f>
        <v/>
      </c>
      <c r="B2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" s="29" t="str">
        <f>IF(CopyTbl[[#This Row],[File Name]]="","",Rename!$B$3)</f>
        <v/>
      </c>
      <c r="D20" s="19" t="str">
        <f t="shared" si="0"/>
        <v/>
      </c>
      <c r="E20" s="17" t="str">
        <f>IF(CopyTbl[[#This Row],[File Name]]="","",LEFT(CopyTbl[[#This Row],[File Name]],6))</f>
        <v/>
      </c>
      <c r="F20" s="1" t="str">
        <f>IFERROR(IF(FilesTbl[[#This Row],[Old Name]]="","",FilesTbl[[#This Row],[Old Name]]),"")</f>
        <v/>
      </c>
      <c r="G20" s="18" t="str">
        <f>IFERROR(IF(FilesTbl[[#This Row],[Extension]]="","",FilesTbl[[#This Row],[Extension]]),"")</f>
        <v/>
      </c>
      <c r="H20" t="str">
        <f>IFERROR(VLOOKUP(LEFT(CopyTbl[[#This Row],[File Name]],6),MS_Data_TBL[],2,FALSE),"")</f>
        <v/>
      </c>
    </row>
    <row r="21" spans="1:8" ht="45" customHeight="1" x14ac:dyDescent="0.3">
      <c r="A21" s="1" t="str">
        <f>IF(CopyTbl[[#This Row],[File Name]]="","",CopyTbl[[#This Row],[Source Path]]&amp;"\"&amp;CopyTbl[[#This Row],[File Name]]&amp;CopyTbl[[#This Row],[Extend]])</f>
        <v/>
      </c>
      <c r="B2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" s="29" t="str">
        <f>IF(CopyTbl[[#This Row],[File Name]]="","",Rename!$B$3)</f>
        <v/>
      </c>
      <c r="D21" s="19" t="str">
        <f t="shared" si="0"/>
        <v/>
      </c>
      <c r="E21" s="17" t="str">
        <f>IF(CopyTbl[[#This Row],[File Name]]="","",LEFT(CopyTbl[[#This Row],[File Name]],6))</f>
        <v/>
      </c>
      <c r="F21" s="1" t="str">
        <f>IFERROR(IF(FilesTbl[[#This Row],[Old Name]]="","",FilesTbl[[#This Row],[Old Name]]),"")</f>
        <v/>
      </c>
      <c r="G21" s="18" t="str">
        <f>IFERROR(IF(FilesTbl[[#This Row],[Extension]]="","",FilesTbl[[#This Row],[Extension]]),"")</f>
        <v/>
      </c>
      <c r="H21" t="str">
        <f>IFERROR(VLOOKUP(LEFT(CopyTbl[[#This Row],[File Name]],6),MS_Data_TBL[],2,FALSE),"")</f>
        <v/>
      </c>
    </row>
    <row r="22" spans="1:8" ht="45" customHeight="1" x14ac:dyDescent="0.3">
      <c r="A22" s="1" t="str">
        <f>IF(CopyTbl[[#This Row],[File Name]]="","",CopyTbl[[#This Row],[Source Path]]&amp;"\"&amp;CopyTbl[[#This Row],[File Name]]&amp;CopyTbl[[#This Row],[Extend]])</f>
        <v/>
      </c>
      <c r="B2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" s="29" t="str">
        <f>IF(CopyTbl[[#This Row],[File Name]]="","",Rename!$B$3)</f>
        <v/>
      </c>
      <c r="D22" s="19" t="str">
        <f t="shared" si="0"/>
        <v/>
      </c>
      <c r="E22" s="17" t="str">
        <f>IF(CopyTbl[[#This Row],[File Name]]="","",LEFT(CopyTbl[[#This Row],[File Name]],6))</f>
        <v/>
      </c>
      <c r="F22" s="1" t="str">
        <f>IFERROR(IF(FilesTbl[[#This Row],[Old Name]]="","",FilesTbl[[#This Row],[Old Name]]),"")</f>
        <v/>
      </c>
      <c r="G22" s="18" t="str">
        <f>IFERROR(IF(FilesTbl[[#This Row],[Extension]]="","",FilesTbl[[#This Row],[Extension]]),"")</f>
        <v/>
      </c>
      <c r="H22" t="str">
        <f>IFERROR(VLOOKUP(LEFT(CopyTbl[[#This Row],[File Name]],6),MS_Data_TBL[],2,FALSE),"")</f>
        <v/>
      </c>
    </row>
    <row r="23" spans="1:8" ht="45" customHeight="1" x14ac:dyDescent="0.3">
      <c r="A23" s="1" t="str">
        <f>IF(CopyTbl[[#This Row],[File Name]]="","",CopyTbl[[#This Row],[Source Path]]&amp;"\"&amp;CopyTbl[[#This Row],[File Name]]&amp;CopyTbl[[#This Row],[Extend]])</f>
        <v/>
      </c>
      <c r="B2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" s="29" t="str">
        <f>IF(CopyTbl[[#This Row],[File Name]]="","",Rename!$B$3)</f>
        <v/>
      </c>
      <c r="D23" s="19" t="str">
        <f t="shared" si="0"/>
        <v/>
      </c>
      <c r="E23" s="17" t="str">
        <f>IF(CopyTbl[[#This Row],[File Name]]="","",LEFT(CopyTbl[[#This Row],[File Name]],6))</f>
        <v/>
      </c>
      <c r="F23" s="1" t="str">
        <f>IFERROR(IF(FilesTbl[[#This Row],[Old Name]]="","",FilesTbl[[#This Row],[Old Name]]),"")</f>
        <v/>
      </c>
      <c r="G23" s="18" t="str">
        <f>IFERROR(IF(FilesTbl[[#This Row],[Extension]]="","",FilesTbl[[#This Row],[Extension]]),"")</f>
        <v/>
      </c>
      <c r="H23" t="str">
        <f>IFERROR(VLOOKUP(LEFT(CopyTbl[[#This Row],[File Name]],6),MS_Data_TBL[],2,FALSE),"")</f>
        <v/>
      </c>
    </row>
    <row r="24" spans="1:8" ht="45" customHeight="1" x14ac:dyDescent="0.3">
      <c r="A24" s="1" t="str">
        <f>IF(CopyTbl[[#This Row],[File Name]]="","",CopyTbl[[#This Row],[Source Path]]&amp;"\"&amp;CopyTbl[[#This Row],[File Name]]&amp;CopyTbl[[#This Row],[Extend]])</f>
        <v/>
      </c>
      <c r="B2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4" s="29" t="str">
        <f>IF(CopyTbl[[#This Row],[File Name]]="","",Rename!$B$3)</f>
        <v/>
      </c>
      <c r="D24" s="19" t="str">
        <f t="shared" si="0"/>
        <v/>
      </c>
      <c r="E24" s="17" t="str">
        <f>IF(CopyTbl[[#This Row],[File Name]]="","",LEFT(CopyTbl[[#This Row],[File Name]],6))</f>
        <v/>
      </c>
      <c r="F24" s="1" t="str">
        <f>IFERROR(IF(FilesTbl[[#This Row],[Old Name]]="","",FilesTbl[[#This Row],[Old Name]]),"")</f>
        <v/>
      </c>
      <c r="G24" s="18" t="str">
        <f>IFERROR(IF(FilesTbl[[#This Row],[Extension]]="","",FilesTbl[[#This Row],[Extension]]),"")</f>
        <v/>
      </c>
      <c r="H24" t="str">
        <f>IFERROR(VLOOKUP(LEFT(CopyTbl[[#This Row],[File Name]],6),MS_Data_TBL[],2,FALSE),"")</f>
        <v/>
      </c>
    </row>
    <row r="25" spans="1:8" ht="45" customHeight="1" x14ac:dyDescent="0.3">
      <c r="A25" s="1" t="str">
        <f>IF(CopyTbl[[#This Row],[File Name]]="","",CopyTbl[[#This Row],[Source Path]]&amp;"\"&amp;CopyTbl[[#This Row],[File Name]]&amp;CopyTbl[[#This Row],[Extend]])</f>
        <v/>
      </c>
      <c r="B2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5" s="29" t="str">
        <f>IF(CopyTbl[[#This Row],[File Name]]="","",Rename!$B$3)</f>
        <v/>
      </c>
      <c r="D25" s="19" t="str">
        <f t="shared" si="0"/>
        <v/>
      </c>
      <c r="E25" s="17" t="str">
        <f>IF(CopyTbl[[#This Row],[File Name]]="","",LEFT(CopyTbl[[#This Row],[File Name]],6))</f>
        <v/>
      </c>
      <c r="F25" s="1" t="str">
        <f>IFERROR(IF(FilesTbl[[#This Row],[Old Name]]="","",FilesTbl[[#This Row],[Old Name]]),"")</f>
        <v/>
      </c>
      <c r="G25" s="18" t="str">
        <f>IFERROR(IF(FilesTbl[[#This Row],[Extension]]="","",FilesTbl[[#This Row],[Extension]]),"")</f>
        <v/>
      </c>
      <c r="H25" t="str">
        <f>IFERROR(VLOOKUP(LEFT(CopyTbl[[#This Row],[File Name]],6),MS_Data_TBL[],2,FALSE),"")</f>
        <v/>
      </c>
    </row>
    <row r="26" spans="1:8" ht="45" customHeight="1" x14ac:dyDescent="0.3">
      <c r="A26" s="1" t="str">
        <f>IF(CopyTbl[[#This Row],[File Name]]="","",CopyTbl[[#This Row],[Source Path]]&amp;"\"&amp;CopyTbl[[#This Row],[File Name]]&amp;CopyTbl[[#This Row],[Extend]])</f>
        <v/>
      </c>
      <c r="B2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6" s="29" t="str">
        <f>IF(CopyTbl[[#This Row],[File Name]]="","",Rename!$B$3)</f>
        <v/>
      </c>
      <c r="D26" s="19" t="str">
        <f t="shared" si="0"/>
        <v/>
      </c>
      <c r="E26" s="17" t="str">
        <f>IF(CopyTbl[[#This Row],[File Name]]="","",LEFT(CopyTbl[[#This Row],[File Name]],6))</f>
        <v/>
      </c>
      <c r="F26" s="1" t="str">
        <f>IFERROR(IF(FilesTbl[[#This Row],[Old Name]]="","",FilesTbl[[#This Row],[Old Name]]),"")</f>
        <v/>
      </c>
      <c r="G26" s="18" t="str">
        <f>IFERROR(IF(FilesTbl[[#This Row],[Extension]]="","",FilesTbl[[#This Row],[Extension]]),"")</f>
        <v/>
      </c>
      <c r="H26" t="str">
        <f>IFERROR(VLOOKUP(LEFT(CopyTbl[[#This Row],[File Name]],6),MS_Data_TBL[],2,FALSE),"")</f>
        <v/>
      </c>
    </row>
    <row r="27" spans="1:8" ht="45" customHeight="1" x14ac:dyDescent="0.3">
      <c r="A27" s="1" t="str">
        <f>IF(CopyTbl[[#This Row],[File Name]]="","",CopyTbl[[#This Row],[Source Path]]&amp;"\"&amp;CopyTbl[[#This Row],[File Name]]&amp;CopyTbl[[#This Row],[Extend]])</f>
        <v/>
      </c>
      <c r="B2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7" s="29" t="str">
        <f>IF(CopyTbl[[#This Row],[File Name]]="","",Rename!$B$3)</f>
        <v/>
      </c>
      <c r="D27" s="19" t="str">
        <f t="shared" si="0"/>
        <v/>
      </c>
      <c r="E27" s="17" t="str">
        <f>IF(CopyTbl[[#This Row],[File Name]]="","",LEFT(CopyTbl[[#This Row],[File Name]],6))</f>
        <v/>
      </c>
      <c r="F27" s="1" t="str">
        <f>IFERROR(IF(FilesTbl[[#This Row],[Old Name]]="","",FilesTbl[[#This Row],[Old Name]]),"")</f>
        <v/>
      </c>
      <c r="G27" s="18" t="str">
        <f>IFERROR(IF(FilesTbl[[#This Row],[Extension]]="","",FilesTbl[[#This Row],[Extension]]),"")</f>
        <v/>
      </c>
      <c r="H27" t="str">
        <f>IFERROR(VLOOKUP(LEFT(CopyTbl[[#This Row],[File Name]],6),MS_Data_TBL[],2,FALSE),"")</f>
        <v/>
      </c>
    </row>
    <row r="28" spans="1:8" ht="45" customHeight="1" x14ac:dyDescent="0.3">
      <c r="A28" s="1" t="str">
        <f>IF(CopyTbl[[#This Row],[File Name]]="","",CopyTbl[[#This Row],[Source Path]]&amp;"\"&amp;CopyTbl[[#This Row],[File Name]]&amp;CopyTbl[[#This Row],[Extend]])</f>
        <v/>
      </c>
      <c r="B2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8" s="29" t="str">
        <f>IF(CopyTbl[[#This Row],[File Name]]="","",Rename!$B$3)</f>
        <v/>
      </c>
      <c r="D28" s="19" t="str">
        <f t="shared" si="0"/>
        <v/>
      </c>
      <c r="E28" s="17" t="str">
        <f>IF(CopyTbl[[#This Row],[File Name]]="","",LEFT(CopyTbl[[#This Row],[File Name]],6))</f>
        <v/>
      </c>
      <c r="F28" s="1" t="str">
        <f>IFERROR(IF(FilesTbl[[#This Row],[Old Name]]="","",FilesTbl[[#This Row],[Old Name]]),"")</f>
        <v/>
      </c>
      <c r="G28" s="18" t="str">
        <f>IFERROR(IF(FilesTbl[[#This Row],[Extension]]="","",FilesTbl[[#This Row],[Extension]]),"")</f>
        <v/>
      </c>
      <c r="H28" t="str">
        <f>IFERROR(VLOOKUP(LEFT(CopyTbl[[#This Row],[File Name]],6),MS_Data_TBL[],2,FALSE),"")</f>
        <v/>
      </c>
    </row>
    <row r="29" spans="1:8" ht="45" customHeight="1" x14ac:dyDescent="0.3">
      <c r="A29" s="1" t="str">
        <f>IF(CopyTbl[[#This Row],[File Name]]="","",CopyTbl[[#This Row],[Source Path]]&amp;"\"&amp;CopyTbl[[#This Row],[File Name]]&amp;CopyTbl[[#This Row],[Extend]])</f>
        <v/>
      </c>
      <c r="B2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9" s="29" t="str">
        <f>IF(CopyTbl[[#This Row],[File Name]]="","",Rename!$B$3)</f>
        <v/>
      </c>
      <c r="D29" s="19" t="str">
        <f t="shared" si="0"/>
        <v/>
      </c>
      <c r="E29" s="17" t="str">
        <f>IF(CopyTbl[[#This Row],[File Name]]="","",LEFT(CopyTbl[[#This Row],[File Name]],6))</f>
        <v/>
      </c>
      <c r="F29" s="1" t="str">
        <f>IFERROR(IF(FilesTbl[[#This Row],[Old Name]]="","",FilesTbl[[#This Row],[Old Name]]),"")</f>
        <v/>
      </c>
      <c r="G29" s="18" t="str">
        <f>IFERROR(IF(FilesTbl[[#This Row],[Extension]]="","",FilesTbl[[#This Row],[Extension]]),"")</f>
        <v/>
      </c>
      <c r="H29" t="str">
        <f>IFERROR(VLOOKUP(LEFT(CopyTbl[[#This Row],[File Name]],6),MS_Data_TBL[],2,FALSE),"")</f>
        <v/>
      </c>
    </row>
    <row r="30" spans="1:8" ht="45" customHeight="1" x14ac:dyDescent="0.3">
      <c r="A30" s="1" t="str">
        <f>IF(CopyTbl[[#This Row],[File Name]]="","",CopyTbl[[#This Row],[Source Path]]&amp;"\"&amp;CopyTbl[[#This Row],[File Name]]&amp;CopyTbl[[#This Row],[Extend]])</f>
        <v/>
      </c>
      <c r="B3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0" s="29" t="str">
        <f>IF(CopyTbl[[#This Row],[File Name]]="","",Rename!$B$3)</f>
        <v/>
      </c>
      <c r="D30" s="19" t="str">
        <f t="shared" si="0"/>
        <v/>
      </c>
      <c r="E30" s="17" t="str">
        <f>IF(CopyTbl[[#This Row],[File Name]]="","",LEFT(CopyTbl[[#This Row],[File Name]],6))</f>
        <v/>
      </c>
      <c r="F30" s="1" t="str">
        <f>IFERROR(IF(FilesTbl[[#This Row],[Old Name]]="","",FilesTbl[[#This Row],[Old Name]]),"")</f>
        <v/>
      </c>
      <c r="G30" s="18" t="str">
        <f>IFERROR(IF(FilesTbl[[#This Row],[Extension]]="","",FilesTbl[[#This Row],[Extension]]),"")</f>
        <v/>
      </c>
      <c r="H30" t="str">
        <f>IFERROR(VLOOKUP(LEFT(CopyTbl[[#This Row],[File Name]],6),MS_Data_TBL[],2,FALSE),"")</f>
        <v/>
      </c>
    </row>
    <row r="31" spans="1:8" ht="45" customHeight="1" x14ac:dyDescent="0.3">
      <c r="A31" s="1" t="str">
        <f>IF(CopyTbl[[#This Row],[File Name]]="","",CopyTbl[[#This Row],[Source Path]]&amp;"\"&amp;CopyTbl[[#This Row],[File Name]]&amp;CopyTbl[[#This Row],[Extend]])</f>
        <v/>
      </c>
      <c r="B3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1" s="29" t="str">
        <f>IF(CopyTbl[[#This Row],[File Name]]="","",Rename!$B$3)</f>
        <v/>
      </c>
      <c r="D31" s="19" t="str">
        <f t="shared" si="0"/>
        <v/>
      </c>
      <c r="E31" s="17" t="str">
        <f>IF(CopyTbl[[#This Row],[File Name]]="","",LEFT(CopyTbl[[#This Row],[File Name]],6))</f>
        <v/>
      </c>
      <c r="F31" s="1" t="str">
        <f>IFERROR(IF(FilesTbl[[#This Row],[Old Name]]="","",FilesTbl[[#This Row],[Old Name]]),"")</f>
        <v/>
      </c>
      <c r="G31" s="18" t="str">
        <f>IFERROR(IF(FilesTbl[[#This Row],[Extension]]="","",FilesTbl[[#This Row],[Extension]]),"")</f>
        <v/>
      </c>
      <c r="H31" t="str">
        <f>IFERROR(VLOOKUP(LEFT(CopyTbl[[#This Row],[File Name]],6),MS_Data_TBL[],2,FALSE),"")</f>
        <v/>
      </c>
    </row>
    <row r="32" spans="1:8" ht="45" customHeight="1" x14ac:dyDescent="0.3">
      <c r="A32" s="1" t="str">
        <f>IF(CopyTbl[[#This Row],[File Name]]="","",CopyTbl[[#This Row],[Source Path]]&amp;"\"&amp;CopyTbl[[#This Row],[File Name]]&amp;CopyTbl[[#This Row],[Extend]])</f>
        <v/>
      </c>
      <c r="B3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2" s="29" t="str">
        <f>IF(CopyTbl[[#This Row],[File Name]]="","",Rename!$B$3)</f>
        <v/>
      </c>
      <c r="D32" s="19" t="str">
        <f t="shared" si="0"/>
        <v/>
      </c>
      <c r="E32" s="17" t="str">
        <f>IF(CopyTbl[[#This Row],[File Name]]="","",LEFT(CopyTbl[[#This Row],[File Name]],6))</f>
        <v/>
      </c>
      <c r="F32" s="1" t="str">
        <f>IFERROR(IF(FilesTbl[[#This Row],[Old Name]]="","",FilesTbl[[#This Row],[Old Name]]),"")</f>
        <v/>
      </c>
      <c r="G32" s="18" t="str">
        <f>IFERROR(IF(FilesTbl[[#This Row],[Extension]]="","",FilesTbl[[#This Row],[Extension]]),"")</f>
        <v/>
      </c>
      <c r="H32" t="str">
        <f>IFERROR(VLOOKUP(LEFT(CopyTbl[[#This Row],[File Name]],6),MS_Data_TBL[],2,FALSE),"")</f>
        <v/>
      </c>
    </row>
    <row r="33" spans="1:8" ht="45" customHeight="1" x14ac:dyDescent="0.3">
      <c r="A33" s="1" t="str">
        <f>IF(CopyTbl[[#This Row],[File Name]]="","",CopyTbl[[#This Row],[Source Path]]&amp;"\"&amp;CopyTbl[[#This Row],[File Name]]&amp;CopyTbl[[#This Row],[Extend]])</f>
        <v/>
      </c>
      <c r="B3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3" s="29" t="str">
        <f>IF(CopyTbl[[#This Row],[File Name]]="","",Rename!$B$3)</f>
        <v/>
      </c>
      <c r="D33" s="19" t="str">
        <f t="shared" si="0"/>
        <v/>
      </c>
      <c r="E33" s="17" t="str">
        <f>IF(CopyTbl[[#This Row],[File Name]]="","",LEFT(CopyTbl[[#This Row],[File Name]],6))</f>
        <v/>
      </c>
      <c r="F33" s="1" t="str">
        <f>IFERROR(IF(FilesTbl[[#This Row],[Old Name]]="","",FilesTbl[[#This Row],[Old Name]]),"")</f>
        <v/>
      </c>
      <c r="G33" s="18" t="str">
        <f>IFERROR(IF(FilesTbl[[#This Row],[Extension]]="","",FilesTbl[[#This Row],[Extension]]),"")</f>
        <v/>
      </c>
      <c r="H33" t="str">
        <f>IFERROR(VLOOKUP(LEFT(CopyTbl[[#This Row],[File Name]],6),MS_Data_TBL[],2,FALSE),"")</f>
        <v/>
      </c>
    </row>
    <row r="34" spans="1:8" ht="45" customHeight="1" x14ac:dyDescent="0.3">
      <c r="A34" s="1" t="str">
        <f>IF(CopyTbl[[#This Row],[File Name]]="","",CopyTbl[[#This Row],[Source Path]]&amp;"\"&amp;CopyTbl[[#This Row],[File Name]]&amp;CopyTbl[[#This Row],[Extend]])</f>
        <v/>
      </c>
      <c r="B3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4" s="29" t="str">
        <f>IF(CopyTbl[[#This Row],[File Name]]="","",Rename!$B$3)</f>
        <v/>
      </c>
      <c r="D34" s="19" t="str">
        <f t="shared" si="0"/>
        <v/>
      </c>
      <c r="E34" s="17" t="str">
        <f>IF(CopyTbl[[#This Row],[File Name]]="","",LEFT(CopyTbl[[#This Row],[File Name]],6))</f>
        <v/>
      </c>
      <c r="F34" s="1" t="str">
        <f>IFERROR(IF(FilesTbl[[#This Row],[Old Name]]="","",FilesTbl[[#This Row],[Old Name]]),"")</f>
        <v/>
      </c>
      <c r="G34" s="18" t="str">
        <f>IFERROR(IF(FilesTbl[[#This Row],[Extension]]="","",FilesTbl[[#This Row],[Extension]]),"")</f>
        <v/>
      </c>
      <c r="H34" t="str">
        <f>IFERROR(VLOOKUP(LEFT(CopyTbl[[#This Row],[File Name]],6),MS_Data_TBL[],2,FALSE),"")</f>
        <v/>
      </c>
    </row>
    <row r="35" spans="1:8" ht="45" customHeight="1" x14ac:dyDescent="0.3">
      <c r="A35" s="1" t="str">
        <f>IF(CopyTbl[[#This Row],[File Name]]="","",CopyTbl[[#This Row],[Source Path]]&amp;"\"&amp;CopyTbl[[#This Row],[File Name]]&amp;CopyTbl[[#This Row],[Extend]])</f>
        <v/>
      </c>
      <c r="B3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5" s="29" t="str">
        <f>IF(CopyTbl[[#This Row],[File Name]]="","",Rename!$B$3)</f>
        <v/>
      </c>
      <c r="D35" s="19" t="str">
        <f t="shared" si="0"/>
        <v/>
      </c>
      <c r="E35" s="17" t="str">
        <f>IF(CopyTbl[[#This Row],[File Name]]="","",LEFT(CopyTbl[[#This Row],[File Name]],6))</f>
        <v/>
      </c>
      <c r="F35" s="1" t="str">
        <f>IFERROR(IF(FilesTbl[[#This Row],[Old Name]]="","",FilesTbl[[#This Row],[Old Name]]),"")</f>
        <v/>
      </c>
      <c r="G35" s="18" t="str">
        <f>IFERROR(IF(FilesTbl[[#This Row],[Extension]]="","",FilesTbl[[#This Row],[Extension]]),"")</f>
        <v/>
      </c>
      <c r="H35" t="str">
        <f>IFERROR(VLOOKUP(LEFT(CopyTbl[[#This Row],[File Name]],6),MS_Data_TBL[],2,FALSE),"")</f>
        <v/>
      </c>
    </row>
    <row r="36" spans="1:8" ht="45" customHeight="1" x14ac:dyDescent="0.3">
      <c r="A36" s="1" t="str">
        <f>IF(CopyTbl[[#This Row],[File Name]]="","",CopyTbl[[#This Row],[Source Path]]&amp;"\"&amp;CopyTbl[[#This Row],[File Name]]&amp;CopyTbl[[#This Row],[Extend]])</f>
        <v/>
      </c>
      <c r="B3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6" s="29" t="str">
        <f>IF(CopyTbl[[#This Row],[File Name]]="","",Rename!$B$3)</f>
        <v/>
      </c>
      <c r="D36" s="19" t="str">
        <f t="shared" si="0"/>
        <v/>
      </c>
      <c r="E36" s="17" t="str">
        <f>IF(CopyTbl[[#This Row],[File Name]]="","",LEFT(CopyTbl[[#This Row],[File Name]],6))</f>
        <v/>
      </c>
      <c r="F36" s="1" t="str">
        <f>IFERROR(IF(FilesTbl[[#This Row],[Old Name]]="","",FilesTbl[[#This Row],[Old Name]]),"")</f>
        <v/>
      </c>
      <c r="G36" s="18" t="str">
        <f>IFERROR(IF(FilesTbl[[#This Row],[Extension]]="","",FilesTbl[[#This Row],[Extension]]),"")</f>
        <v/>
      </c>
      <c r="H36" t="str">
        <f>IFERROR(VLOOKUP(LEFT(CopyTbl[[#This Row],[File Name]],6),MS_Data_TBL[],2,FALSE),"")</f>
        <v/>
      </c>
    </row>
    <row r="37" spans="1:8" ht="45" customHeight="1" x14ac:dyDescent="0.3">
      <c r="A37" s="1" t="str">
        <f>IF(CopyTbl[[#This Row],[File Name]]="","",CopyTbl[[#This Row],[Source Path]]&amp;"\"&amp;CopyTbl[[#This Row],[File Name]]&amp;CopyTbl[[#This Row],[Extend]])</f>
        <v/>
      </c>
      <c r="B3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7" s="29" t="str">
        <f>IF(CopyTbl[[#This Row],[File Name]]="","",Rename!$B$3)</f>
        <v/>
      </c>
      <c r="D37" s="19" t="str">
        <f t="shared" si="0"/>
        <v/>
      </c>
      <c r="E37" s="17" t="str">
        <f>IF(CopyTbl[[#This Row],[File Name]]="","",LEFT(CopyTbl[[#This Row],[File Name]],6))</f>
        <v/>
      </c>
      <c r="F37" s="1" t="str">
        <f>IFERROR(IF(FilesTbl[[#This Row],[Old Name]]="","",FilesTbl[[#This Row],[Old Name]]),"")</f>
        <v/>
      </c>
      <c r="G37" s="18" t="str">
        <f>IFERROR(IF(FilesTbl[[#This Row],[Extension]]="","",FilesTbl[[#This Row],[Extension]]),"")</f>
        <v/>
      </c>
      <c r="H37" t="str">
        <f>IFERROR(VLOOKUP(LEFT(CopyTbl[[#This Row],[File Name]],6),MS_Data_TBL[],2,FALSE),"")</f>
        <v/>
      </c>
    </row>
    <row r="38" spans="1:8" ht="45" customHeight="1" x14ac:dyDescent="0.3">
      <c r="A38" s="1" t="str">
        <f>IF(CopyTbl[[#This Row],[File Name]]="","",CopyTbl[[#This Row],[Source Path]]&amp;"\"&amp;CopyTbl[[#This Row],[File Name]]&amp;CopyTbl[[#This Row],[Extend]])</f>
        <v/>
      </c>
      <c r="B3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8" s="29" t="str">
        <f>IF(CopyTbl[[#This Row],[File Name]]="","",Rename!$B$3)</f>
        <v/>
      </c>
      <c r="D38" s="19" t="str">
        <f t="shared" si="0"/>
        <v/>
      </c>
      <c r="E38" s="17" t="str">
        <f>IF(CopyTbl[[#This Row],[File Name]]="","",LEFT(CopyTbl[[#This Row],[File Name]],6))</f>
        <v/>
      </c>
      <c r="F38" s="1" t="str">
        <f>IFERROR(IF(FilesTbl[[#This Row],[Old Name]]="","",FilesTbl[[#This Row],[Old Name]]),"")</f>
        <v/>
      </c>
      <c r="G38" s="18" t="str">
        <f>IFERROR(IF(FilesTbl[[#This Row],[Extension]]="","",FilesTbl[[#This Row],[Extension]]),"")</f>
        <v/>
      </c>
      <c r="H38" t="str">
        <f>IFERROR(VLOOKUP(LEFT(CopyTbl[[#This Row],[File Name]],6),MS_Data_TBL[],2,FALSE),"")</f>
        <v/>
      </c>
    </row>
    <row r="39" spans="1:8" ht="45" customHeight="1" x14ac:dyDescent="0.3">
      <c r="A39" s="1" t="str">
        <f>IF(CopyTbl[[#This Row],[File Name]]="","",CopyTbl[[#This Row],[Source Path]]&amp;"\"&amp;CopyTbl[[#This Row],[File Name]]&amp;CopyTbl[[#This Row],[Extend]])</f>
        <v/>
      </c>
      <c r="B3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39" s="29" t="str">
        <f>IF(CopyTbl[[#This Row],[File Name]]="","",Rename!$B$3)</f>
        <v/>
      </c>
      <c r="D39" s="19" t="str">
        <f t="shared" si="0"/>
        <v/>
      </c>
      <c r="E39" s="17" t="str">
        <f>IF(CopyTbl[[#This Row],[File Name]]="","",LEFT(CopyTbl[[#This Row],[File Name]],6))</f>
        <v/>
      </c>
      <c r="F39" s="1" t="str">
        <f>IFERROR(IF(FilesTbl[[#This Row],[Old Name]]="","",FilesTbl[[#This Row],[Old Name]]),"")</f>
        <v/>
      </c>
      <c r="G39" s="18" t="str">
        <f>IFERROR(IF(FilesTbl[[#This Row],[Extension]]="","",FilesTbl[[#This Row],[Extension]]),"")</f>
        <v/>
      </c>
      <c r="H39" t="str">
        <f>IFERROR(VLOOKUP(LEFT(CopyTbl[[#This Row],[File Name]],6),MS_Data_TBL[],2,FALSE),"")</f>
        <v/>
      </c>
    </row>
    <row r="40" spans="1:8" ht="45" customHeight="1" x14ac:dyDescent="0.3">
      <c r="A40" s="1" t="str">
        <f>IF(CopyTbl[[#This Row],[File Name]]="","",CopyTbl[[#This Row],[Source Path]]&amp;"\"&amp;CopyTbl[[#This Row],[File Name]]&amp;CopyTbl[[#This Row],[Extend]])</f>
        <v/>
      </c>
      <c r="B4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0" s="29" t="str">
        <f>IF(CopyTbl[[#This Row],[File Name]]="","",Rename!$B$3)</f>
        <v/>
      </c>
      <c r="D40" s="19" t="str">
        <f t="shared" si="0"/>
        <v/>
      </c>
      <c r="E40" s="17" t="str">
        <f>IF(CopyTbl[[#This Row],[File Name]]="","",LEFT(CopyTbl[[#This Row],[File Name]],6))</f>
        <v/>
      </c>
      <c r="F40" s="1" t="str">
        <f>IFERROR(IF(FilesTbl[[#This Row],[Old Name]]="","",FilesTbl[[#This Row],[Old Name]]),"")</f>
        <v/>
      </c>
      <c r="G40" s="18" t="str">
        <f>IFERROR(IF(FilesTbl[[#This Row],[Extension]]="","",FilesTbl[[#This Row],[Extension]]),"")</f>
        <v/>
      </c>
      <c r="H40" t="str">
        <f>IFERROR(VLOOKUP(LEFT(CopyTbl[[#This Row],[File Name]],6),MS_Data_TBL[],2,FALSE),"")</f>
        <v/>
      </c>
    </row>
    <row r="41" spans="1:8" ht="45" customHeight="1" x14ac:dyDescent="0.3">
      <c r="A41" s="1" t="str">
        <f>IF(CopyTbl[[#This Row],[File Name]]="","",CopyTbl[[#This Row],[Source Path]]&amp;"\"&amp;CopyTbl[[#This Row],[File Name]]&amp;CopyTbl[[#This Row],[Extend]])</f>
        <v/>
      </c>
      <c r="B4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1" s="29" t="str">
        <f>IF(CopyTbl[[#This Row],[File Name]]="","",Rename!$B$3)</f>
        <v/>
      </c>
      <c r="D41" s="19" t="str">
        <f t="shared" si="0"/>
        <v/>
      </c>
      <c r="E41" s="17" t="str">
        <f>IF(CopyTbl[[#This Row],[File Name]]="","",LEFT(CopyTbl[[#This Row],[File Name]],6))</f>
        <v/>
      </c>
      <c r="F41" s="1" t="str">
        <f>IFERROR(IF(FilesTbl[[#This Row],[Old Name]]="","",FilesTbl[[#This Row],[Old Name]]),"")</f>
        <v/>
      </c>
      <c r="G41" s="18" t="str">
        <f>IFERROR(IF(FilesTbl[[#This Row],[Extension]]="","",FilesTbl[[#This Row],[Extension]]),"")</f>
        <v/>
      </c>
      <c r="H41" t="str">
        <f>IFERROR(VLOOKUP(LEFT(CopyTbl[[#This Row],[File Name]],6),MS_Data_TBL[],2,FALSE),"")</f>
        <v/>
      </c>
    </row>
    <row r="42" spans="1:8" ht="45" customHeight="1" x14ac:dyDescent="0.3">
      <c r="A42" s="1" t="str">
        <f>IF(CopyTbl[[#This Row],[File Name]]="","",CopyTbl[[#This Row],[Source Path]]&amp;"\"&amp;CopyTbl[[#This Row],[File Name]]&amp;CopyTbl[[#This Row],[Extend]])</f>
        <v/>
      </c>
      <c r="B4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2" s="29" t="str">
        <f>IF(CopyTbl[[#This Row],[File Name]]="","",Rename!$B$3)</f>
        <v/>
      </c>
      <c r="D42" s="19" t="str">
        <f t="shared" si="0"/>
        <v/>
      </c>
      <c r="E42" s="17" t="str">
        <f>IF(CopyTbl[[#This Row],[File Name]]="","",LEFT(CopyTbl[[#This Row],[File Name]],6))</f>
        <v/>
      </c>
      <c r="F42" s="1" t="str">
        <f>IFERROR(IF(FilesTbl[[#This Row],[Old Name]]="","",FilesTbl[[#This Row],[Old Name]]),"")</f>
        <v/>
      </c>
      <c r="G42" s="18" t="str">
        <f>IFERROR(IF(FilesTbl[[#This Row],[Extension]]="","",FilesTbl[[#This Row],[Extension]]),"")</f>
        <v/>
      </c>
      <c r="H42" t="str">
        <f>IFERROR(VLOOKUP(LEFT(CopyTbl[[#This Row],[File Name]],6),MS_Data_TBL[],2,FALSE),"")</f>
        <v/>
      </c>
    </row>
    <row r="43" spans="1:8" ht="45" customHeight="1" x14ac:dyDescent="0.3">
      <c r="A43" s="1" t="str">
        <f>IF(CopyTbl[[#This Row],[File Name]]="","",CopyTbl[[#This Row],[Source Path]]&amp;"\"&amp;CopyTbl[[#This Row],[File Name]]&amp;CopyTbl[[#This Row],[Extend]])</f>
        <v/>
      </c>
      <c r="B4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3" s="29" t="str">
        <f>IF(CopyTbl[[#This Row],[File Name]]="","",Rename!$B$3)</f>
        <v/>
      </c>
      <c r="D43" s="19" t="str">
        <f t="shared" si="0"/>
        <v/>
      </c>
      <c r="E43" s="17" t="str">
        <f>IF(CopyTbl[[#This Row],[File Name]]="","",LEFT(CopyTbl[[#This Row],[File Name]],6))</f>
        <v/>
      </c>
      <c r="F43" s="1" t="str">
        <f>IFERROR(IF(FilesTbl[[#This Row],[Old Name]]="","",FilesTbl[[#This Row],[Old Name]]),"")</f>
        <v/>
      </c>
      <c r="G43" s="18" t="str">
        <f>IFERROR(IF(FilesTbl[[#This Row],[Extension]]="","",FilesTbl[[#This Row],[Extension]]),"")</f>
        <v/>
      </c>
      <c r="H43" t="str">
        <f>IFERROR(VLOOKUP(LEFT(CopyTbl[[#This Row],[File Name]],6),MS_Data_TBL[],2,FALSE),"")</f>
        <v/>
      </c>
    </row>
    <row r="44" spans="1:8" ht="45" customHeight="1" x14ac:dyDescent="0.3">
      <c r="A44" s="1" t="str">
        <f>IF(CopyTbl[[#This Row],[File Name]]="","",CopyTbl[[#This Row],[Source Path]]&amp;"\"&amp;CopyTbl[[#This Row],[File Name]]&amp;CopyTbl[[#This Row],[Extend]])</f>
        <v/>
      </c>
      <c r="B4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4" s="29" t="str">
        <f>IF(CopyTbl[[#This Row],[File Name]]="","",Rename!$B$3)</f>
        <v/>
      </c>
      <c r="D44" s="19" t="str">
        <f t="shared" si="0"/>
        <v/>
      </c>
      <c r="E44" s="17" t="str">
        <f>IF(CopyTbl[[#This Row],[File Name]]="","",LEFT(CopyTbl[[#This Row],[File Name]],6))</f>
        <v/>
      </c>
      <c r="F44" s="1" t="str">
        <f>IFERROR(IF(FilesTbl[[#This Row],[Old Name]]="","",FilesTbl[[#This Row],[Old Name]]),"")</f>
        <v/>
      </c>
      <c r="G44" s="18" t="str">
        <f>IFERROR(IF(FilesTbl[[#This Row],[Extension]]="","",FilesTbl[[#This Row],[Extension]]),"")</f>
        <v/>
      </c>
      <c r="H44" t="str">
        <f>IFERROR(VLOOKUP(LEFT(CopyTbl[[#This Row],[File Name]],6),MS_Data_TBL[],2,FALSE),"")</f>
        <v/>
      </c>
    </row>
    <row r="45" spans="1:8" ht="45" customHeight="1" x14ac:dyDescent="0.3">
      <c r="A45" s="1" t="str">
        <f>IF(CopyTbl[[#This Row],[File Name]]="","",CopyTbl[[#This Row],[Source Path]]&amp;"\"&amp;CopyTbl[[#This Row],[File Name]]&amp;CopyTbl[[#This Row],[Extend]])</f>
        <v/>
      </c>
      <c r="B4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5" s="29" t="str">
        <f>IF(CopyTbl[[#This Row],[File Name]]="","",Rename!$B$3)</f>
        <v/>
      </c>
      <c r="D45" s="19" t="str">
        <f t="shared" si="0"/>
        <v/>
      </c>
      <c r="E45" s="17" t="str">
        <f>IF(CopyTbl[[#This Row],[File Name]]="","",LEFT(CopyTbl[[#This Row],[File Name]],6))</f>
        <v/>
      </c>
      <c r="F45" s="1" t="str">
        <f>IFERROR(IF(FilesTbl[[#This Row],[Old Name]]="","",FilesTbl[[#This Row],[Old Name]]),"")</f>
        <v/>
      </c>
      <c r="G45" s="18" t="str">
        <f>IFERROR(IF(FilesTbl[[#This Row],[Extension]]="","",FilesTbl[[#This Row],[Extension]]),"")</f>
        <v/>
      </c>
      <c r="H45" t="str">
        <f>IFERROR(VLOOKUP(LEFT(CopyTbl[[#This Row],[File Name]],6),MS_Data_TBL[],2,FALSE),"")</f>
        <v/>
      </c>
    </row>
    <row r="46" spans="1:8" ht="45" customHeight="1" x14ac:dyDescent="0.3">
      <c r="A46" s="1" t="str">
        <f>IF(CopyTbl[[#This Row],[File Name]]="","",CopyTbl[[#This Row],[Source Path]]&amp;"\"&amp;CopyTbl[[#This Row],[File Name]]&amp;CopyTbl[[#This Row],[Extend]])</f>
        <v/>
      </c>
      <c r="B4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6" s="29" t="str">
        <f>IF(CopyTbl[[#This Row],[File Name]]="","",Rename!$B$3)</f>
        <v/>
      </c>
      <c r="D46" s="19" t="str">
        <f t="shared" si="0"/>
        <v/>
      </c>
      <c r="E46" s="17" t="str">
        <f>IF(CopyTbl[[#This Row],[File Name]]="","",LEFT(CopyTbl[[#This Row],[File Name]],6))</f>
        <v/>
      </c>
      <c r="F46" s="1" t="str">
        <f>IFERROR(IF(FilesTbl[[#This Row],[Old Name]]="","",FilesTbl[[#This Row],[Old Name]]),"")</f>
        <v/>
      </c>
      <c r="G46" s="18" t="str">
        <f>IFERROR(IF(FilesTbl[[#This Row],[Extension]]="","",FilesTbl[[#This Row],[Extension]]),"")</f>
        <v/>
      </c>
      <c r="H46" t="str">
        <f>IFERROR(VLOOKUP(LEFT(CopyTbl[[#This Row],[File Name]],6),MS_Data_TBL[],2,FALSE),"")</f>
        <v/>
      </c>
    </row>
    <row r="47" spans="1:8" ht="45" customHeight="1" x14ac:dyDescent="0.3">
      <c r="A47" s="1" t="str">
        <f>IF(CopyTbl[[#This Row],[File Name]]="","",CopyTbl[[#This Row],[Source Path]]&amp;"\"&amp;CopyTbl[[#This Row],[File Name]]&amp;CopyTbl[[#This Row],[Extend]])</f>
        <v/>
      </c>
      <c r="B4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7" s="29" t="str">
        <f>IF(CopyTbl[[#This Row],[File Name]]="","",Rename!$B$3)</f>
        <v/>
      </c>
      <c r="D47" s="19" t="str">
        <f t="shared" si="0"/>
        <v/>
      </c>
      <c r="E47" s="17" t="str">
        <f>IF(CopyTbl[[#This Row],[File Name]]="","",LEFT(CopyTbl[[#This Row],[File Name]],6))</f>
        <v/>
      </c>
      <c r="F47" s="1" t="str">
        <f>IFERROR(IF(FilesTbl[[#This Row],[Old Name]]="","",FilesTbl[[#This Row],[Old Name]]),"")</f>
        <v/>
      </c>
      <c r="G47" s="18" t="str">
        <f>IFERROR(IF(FilesTbl[[#This Row],[Extension]]="","",FilesTbl[[#This Row],[Extension]]),"")</f>
        <v/>
      </c>
      <c r="H47" t="str">
        <f>IFERROR(VLOOKUP(LEFT(CopyTbl[[#This Row],[File Name]],6),MS_Data_TBL[],2,FALSE),"")</f>
        <v/>
      </c>
    </row>
    <row r="48" spans="1:8" ht="45" customHeight="1" x14ac:dyDescent="0.3">
      <c r="A48" s="1" t="str">
        <f>IF(CopyTbl[[#This Row],[File Name]]="","",CopyTbl[[#This Row],[Source Path]]&amp;"\"&amp;CopyTbl[[#This Row],[File Name]]&amp;CopyTbl[[#This Row],[Extend]])</f>
        <v/>
      </c>
      <c r="B4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8" s="29" t="str">
        <f>IF(CopyTbl[[#This Row],[File Name]]="","",Rename!$B$3)</f>
        <v/>
      </c>
      <c r="D48" s="19" t="str">
        <f t="shared" si="0"/>
        <v/>
      </c>
      <c r="E48" s="17" t="str">
        <f>IF(CopyTbl[[#This Row],[File Name]]="","",LEFT(CopyTbl[[#This Row],[File Name]],6))</f>
        <v/>
      </c>
      <c r="F48" s="1" t="str">
        <f>IFERROR(IF(FilesTbl[[#This Row],[Old Name]]="","",FilesTbl[[#This Row],[Old Name]]),"")</f>
        <v/>
      </c>
      <c r="G48" s="18" t="str">
        <f>IFERROR(IF(FilesTbl[[#This Row],[Extension]]="","",FilesTbl[[#This Row],[Extension]]),"")</f>
        <v/>
      </c>
      <c r="H48" t="str">
        <f>IFERROR(VLOOKUP(LEFT(CopyTbl[[#This Row],[File Name]],6),MS_Data_TBL[],2,FALSE),"")</f>
        <v/>
      </c>
    </row>
    <row r="49" spans="1:8" ht="45" customHeight="1" x14ac:dyDescent="0.3">
      <c r="A49" s="1" t="str">
        <f>IF(CopyTbl[[#This Row],[File Name]]="","",CopyTbl[[#This Row],[Source Path]]&amp;"\"&amp;CopyTbl[[#This Row],[File Name]]&amp;CopyTbl[[#This Row],[Extend]])</f>
        <v/>
      </c>
      <c r="B4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49" s="29" t="str">
        <f>IF(CopyTbl[[#This Row],[File Name]]="","",Rename!$B$3)</f>
        <v/>
      </c>
      <c r="D49" s="19" t="str">
        <f t="shared" si="0"/>
        <v/>
      </c>
      <c r="E49" s="17" t="str">
        <f>IF(CopyTbl[[#This Row],[File Name]]="","",LEFT(CopyTbl[[#This Row],[File Name]],6))</f>
        <v/>
      </c>
      <c r="F49" s="1" t="str">
        <f>IFERROR(IF(FilesTbl[[#This Row],[Old Name]]="","",FilesTbl[[#This Row],[Old Name]]),"")</f>
        <v/>
      </c>
      <c r="G49" s="18" t="str">
        <f>IFERROR(IF(FilesTbl[[#This Row],[Extension]]="","",FilesTbl[[#This Row],[Extension]]),"")</f>
        <v/>
      </c>
      <c r="H49" t="str">
        <f>IFERROR(VLOOKUP(LEFT(CopyTbl[[#This Row],[File Name]],6),MS_Data_TBL[],2,FALSE),"")</f>
        <v/>
      </c>
    </row>
    <row r="50" spans="1:8" ht="45" customHeight="1" x14ac:dyDescent="0.3">
      <c r="A50" s="1" t="str">
        <f>IF(CopyTbl[[#This Row],[File Name]]="","",CopyTbl[[#This Row],[Source Path]]&amp;"\"&amp;CopyTbl[[#This Row],[File Name]]&amp;CopyTbl[[#This Row],[Extend]])</f>
        <v/>
      </c>
      <c r="B5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0" s="29" t="str">
        <f>IF(CopyTbl[[#This Row],[File Name]]="","",Rename!$B$3)</f>
        <v/>
      </c>
      <c r="D50" s="19" t="str">
        <f t="shared" si="0"/>
        <v/>
      </c>
      <c r="E50" s="17" t="str">
        <f>IF(CopyTbl[[#This Row],[File Name]]="","",LEFT(CopyTbl[[#This Row],[File Name]],6))</f>
        <v/>
      </c>
      <c r="F50" s="1" t="str">
        <f>IFERROR(IF(FilesTbl[[#This Row],[Old Name]]="","",FilesTbl[[#This Row],[Old Name]]),"")</f>
        <v/>
      </c>
      <c r="G50" s="18" t="str">
        <f>IFERROR(IF(FilesTbl[[#This Row],[Extension]]="","",FilesTbl[[#This Row],[Extension]]),"")</f>
        <v/>
      </c>
      <c r="H50" t="str">
        <f>IFERROR(VLOOKUP(LEFT(CopyTbl[[#This Row],[File Name]],6),MS_Data_TBL[],2,FALSE),"")</f>
        <v/>
      </c>
    </row>
    <row r="51" spans="1:8" ht="45" customHeight="1" x14ac:dyDescent="0.3">
      <c r="A51" s="1" t="str">
        <f>IF(CopyTbl[[#This Row],[File Name]]="","",CopyTbl[[#This Row],[Source Path]]&amp;"\"&amp;CopyTbl[[#This Row],[File Name]]&amp;CopyTbl[[#This Row],[Extend]])</f>
        <v/>
      </c>
      <c r="B5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1" s="29" t="str">
        <f>IF(CopyTbl[[#This Row],[File Name]]="","",Rename!$B$3)</f>
        <v/>
      </c>
      <c r="D51" s="19" t="str">
        <f t="shared" si="0"/>
        <v/>
      </c>
      <c r="E51" s="17" t="str">
        <f>IF(CopyTbl[[#This Row],[File Name]]="","",LEFT(CopyTbl[[#This Row],[File Name]],6))</f>
        <v/>
      </c>
      <c r="F51" s="1" t="str">
        <f>IFERROR(IF(FilesTbl[[#This Row],[Old Name]]="","",FilesTbl[[#This Row],[Old Name]]),"")</f>
        <v/>
      </c>
      <c r="G51" s="18" t="str">
        <f>IFERROR(IF(FilesTbl[[#This Row],[Extension]]="","",FilesTbl[[#This Row],[Extension]]),"")</f>
        <v/>
      </c>
      <c r="H51" t="str">
        <f>IFERROR(VLOOKUP(LEFT(CopyTbl[[#This Row],[File Name]],6),MS_Data_TBL[],2,FALSE),"")</f>
        <v/>
      </c>
    </row>
    <row r="52" spans="1:8" ht="45" customHeight="1" x14ac:dyDescent="0.3">
      <c r="A52" s="1" t="str">
        <f>IF(CopyTbl[[#This Row],[File Name]]="","",CopyTbl[[#This Row],[Source Path]]&amp;"\"&amp;CopyTbl[[#This Row],[File Name]]&amp;CopyTbl[[#This Row],[Extend]])</f>
        <v/>
      </c>
      <c r="B5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2" s="29" t="str">
        <f>IF(CopyTbl[[#This Row],[File Name]]="","",Rename!$B$3)</f>
        <v/>
      </c>
      <c r="D52" s="19" t="str">
        <f t="shared" si="0"/>
        <v/>
      </c>
      <c r="E52" s="17" t="str">
        <f>IF(CopyTbl[[#This Row],[File Name]]="","",LEFT(CopyTbl[[#This Row],[File Name]],6))</f>
        <v/>
      </c>
      <c r="F52" s="1" t="str">
        <f>IFERROR(IF(FilesTbl[[#This Row],[Old Name]]="","",FilesTbl[[#This Row],[Old Name]]),"")</f>
        <v/>
      </c>
      <c r="G52" s="18" t="str">
        <f>IFERROR(IF(FilesTbl[[#This Row],[Extension]]="","",FilesTbl[[#This Row],[Extension]]),"")</f>
        <v/>
      </c>
      <c r="H52" t="str">
        <f>IFERROR(VLOOKUP(LEFT(CopyTbl[[#This Row],[File Name]],6),MS_Data_TBL[],2,FALSE),"")</f>
        <v/>
      </c>
    </row>
    <row r="53" spans="1:8" ht="45" customHeight="1" x14ac:dyDescent="0.3">
      <c r="A53" s="1" t="str">
        <f>IF(CopyTbl[[#This Row],[File Name]]="","",CopyTbl[[#This Row],[Source Path]]&amp;"\"&amp;CopyTbl[[#This Row],[File Name]]&amp;CopyTbl[[#This Row],[Extend]])</f>
        <v/>
      </c>
      <c r="B5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3" s="29" t="str">
        <f>IF(CopyTbl[[#This Row],[File Name]]="","",Rename!$B$3)</f>
        <v/>
      </c>
      <c r="D53" s="19" t="str">
        <f t="shared" si="0"/>
        <v/>
      </c>
      <c r="E53" s="17" t="str">
        <f>IF(CopyTbl[[#This Row],[File Name]]="","",LEFT(CopyTbl[[#This Row],[File Name]],6))</f>
        <v/>
      </c>
      <c r="F53" s="1" t="str">
        <f>IFERROR(IF(FilesTbl[[#This Row],[Old Name]]="","",FilesTbl[[#This Row],[Old Name]]),"")</f>
        <v/>
      </c>
      <c r="G53" s="18" t="str">
        <f>IFERROR(IF(FilesTbl[[#This Row],[Extension]]="","",FilesTbl[[#This Row],[Extension]]),"")</f>
        <v/>
      </c>
      <c r="H53" t="str">
        <f>IFERROR(VLOOKUP(LEFT(CopyTbl[[#This Row],[File Name]],6),MS_Data_TBL[],2,FALSE),"")</f>
        <v/>
      </c>
    </row>
    <row r="54" spans="1:8" ht="45" customHeight="1" x14ac:dyDescent="0.3">
      <c r="A54" s="1" t="str">
        <f>IF(CopyTbl[[#This Row],[File Name]]="","",CopyTbl[[#This Row],[Source Path]]&amp;"\"&amp;CopyTbl[[#This Row],[File Name]]&amp;CopyTbl[[#This Row],[Extend]])</f>
        <v/>
      </c>
      <c r="B5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4" s="29" t="str">
        <f>IF(CopyTbl[[#This Row],[File Name]]="","",Rename!$B$3)</f>
        <v/>
      </c>
      <c r="D54" s="19" t="str">
        <f t="shared" si="0"/>
        <v/>
      </c>
      <c r="E54" s="17" t="str">
        <f>IF(CopyTbl[[#This Row],[File Name]]="","",LEFT(CopyTbl[[#This Row],[File Name]],6))</f>
        <v/>
      </c>
      <c r="F54" s="1" t="str">
        <f>IFERROR(IF(FilesTbl[[#This Row],[Old Name]]="","",FilesTbl[[#This Row],[Old Name]]),"")</f>
        <v/>
      </c>
      <c r="G54" s="18" t="str">
        <f>IFERROR(IF(FilesTbl[[#This Row],[Extension]]="","",FilesTbl[[#This Row],[Extension]]),"")</f>
        <v/>
      </c>
      <c r="H54" t="str">
        <f>IFERROR(VLOOKUP(LEFT(CopyTbl[[#This Row],[File Name]],6),MS_Data_TBL[],2,FALSE),"")</f>
        <v/>
      </c>
    </row>
    <row r="55" spans="1:8" ht="45" customHeight="1" x14ac:dyDescent="0.3">
      <c r="A55" s="1" t="str">
        <f>IF(CopyTbl[[#This Row],[File Name]]="","",CopyTbl[[#This Row],[Source Path]]&amp;"\"&amp;CopyTbl[[#This Row],[File Name]]&amp;CopyTbl[[#This Row],[Extend]])</f>
        <v/>
      </c>
      <c r="B5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5" s="29" t="str">
        <f>IF(CopyTbl[[#This Row],[File Name]]="","",Rename!$B$3)</f>
        <v/>
      </c>
      <c r="D55" s="19" t="str">
        <f t="shared" si="0"/>
        <v/>
      </c>
      <c r="E55" s="17" t="str">
        <f>IF(CopyTbl[[#This Row],[File Name]]="","",LEFT(CopyTbl[[#This Row],[File Name]],6))</f>
        <v/>
      </c>
      <c r="F55" s="1" t="str">
        <f>IFERROR(IF(FilesTbl[[#This Row],[Old Name]]="","",FilesTbl[[#This Row],[Old Name]]),"")</f>
        <v/>
      </c>
      <c r="G55" s="18" t="str">
        <f>IFERROR(IF(FilesTbl[[#This Row],[Extension]]="","",FilesTbl[[#This Row],[Extension]]),"")</f>
        <v/>
      </c>
      <c r="H55" t="str">
        <f>IFERROR(VLOOKUP(LEFT(CopyTbl[[#This Row],[File Name]],6),MS_Data_TBL[],2,FALSE),"")</f>
        <v/>
      </c>
    </row>
    <row r="56" spans="1:8" ht="45" customHeight="1" x14ac:dyDescent="0.3">
      <c r="A56" s="1" t="str">
        <f>IF(CopyTbl[[#This Row],[File Name]]="","",CopyTbl[[#This Row],[Source Path]]&amp;"\"&amp;CopyTbl[[#This Row],[File Name]]&amp;CopyTbl[[#This Row],[Extend]])</f>
        <v/>
      </c>
      <c r="B5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6" s="29" t="str">
        <f>IF(CopyTbl[[#This Row],[File Name]]="","",Rename!$B$3)</f>
        <v/>
      </c>
      <c r="D56" s="19" t="str">
        <f t="shared" si="0"/>
        <v/>
      </c>
      <c r="E56" s="17" t="str">
        <f>IF(CopyTbl[[#This Row],[File Name]]="","",LEFT(CopyTbl[[#This Row],[File Name]],6))</f>
        <v/>
      </c>
      <c r="F56" s="1" t="str">
        <f>IFERROR(IF(FilesTbl[[#This Row],[Old Name]]="","",FilesTbl[[#This Row],[Old Name]]),"")</f>
        <v/>
      </c>
      <c r="G56" s="18" t="str">
        <f>IFERROR(IF(FilesTbl[[#This Row],[Extension]]="","",FilesTbl[[#This Row],[Extension]]),"")</f>
        <v/>
      </c>
      <c r="H56" t="str">
        <f>IFERROR(VLOOKUP(LEFT(CopyTbl[[#This Row],[File Name]],6),MS_Data_TBL[],2,FALSE),"")</f>
        <v/>
      </c>
    </row>
    <row r="57" spans="1:8" ht="45" customHeight="1" x14ac:dyDescent="0.3">
      <c r="A57" s="1" t="str">
        <f>IF(CopyTbl[[#This Row],[File Name]]="","",CopyTbl[[#This Row],[Source Path]]&amp;"\"&amp;CopyTbl[[#This Row],[File Name]]&amp;CopyTbl[[#This Row],[Extend]])</f>
        <v/>
      </c>
      <c r="B5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7" s="29" t="str">
        <f>IF(CopyTbl[[#This Row],[File Name]]="","",Rename!$B$3)</f>
        <v/>
      </c>
      <c r="D57" s="19" t="str">
        <f t="shared" si="0"/>
        <v/>
      </c>
      <c r="E57" s="17" t="str">
        <f>IF(CopyTbl[[#This Row],[File Name]]="","",LEFT(CopyTbl[[#This Row],[File Name]],6))</f>
        <v/>
      </c>
      <c r="F57" s="1" t="str">
        <f>IFERROR(IF(FilesTbl[[#This Row],[Old Name]]="","",FilesTbl[[#This Row],[Old Name]]),"")</f>
        <v/>
      </c>
      <c r="G57" s="18" t="str">
        <f>IFERROR(IF(FilesTbl[[#This Row],[Extension]]="","",FilesTbl[[#This Row],[Extension]]),"")</f>
        <v/>
      </c>
      <c r="H57" t="str">
        <f>IFERROR(VLOOKUP(LEFT(CopyTbl[[#This Row],[File Name]],6),MS_Data_TBL[],2,FALSE),"")</f>
        <v/>
      </c>
    </row>
    <row r="58" spans="1:8" ht="45" customHeight="1" x14ac:dyDescent="0.3">
      <c r="A58" s="1" t="str">
        <f>IF(CopyTbl[[#This Row],[File Name]]="","",CopyTbl[[#This Row],[Source Path]]&amp;"\"&amp;CopyTbl[[#This Row],[File Name]]&amp;CopyTbl[[#This Row],[Extend]])</f>
        <v/>
      </c>
      <c r="B5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8" s="29" t="str">
        <f>IF(CopyTbl[[#This Row],[File Name]]="","",Rename!$B$3)</f>
        <v/>
      </c>
      <c r="D58" s="19" t="str">
        <f t="shared" si="0"/>
        <v/>
      </c>
      <c r="E58" s="17" t="str">
        <f>IF(CopyTbl[[#This Row],[File Name]]="","",LEFT(CopyTbl[[#This Row],[File Name]],6))</f>
        <v/>
      </c>
      <c r="F58" s="1" t="str">
        <f>IFERROR(IF(FilesTbl[[#This Row],[Old Name]]="","",FilesTbl[[#This Row],[Old Name]]),"")</f>
        <v/>
      </c>
      <c r="G58" s="18" t="str">
        <f>IFERROR(IF(FilesTbl[[#This Row],[Extension]]="","",FilesTbl[[#This Row],[Extension]]),"")</f>
        <v/>
      </c>
      <c r="H58" t="str">
        <f>IFERROR(VLOOKUP(LEFT(CopyTbl[[#This Row],[File Name]],6),MS_Data_TBL[],2,FALSE),"")</f>
        <v/>
      </c>
    </row>
    <row r="59" spans="1:8" ht="45" customHeight="1" x14ac:dyDescent="0.3">
      <c r="A59" s="1" t="str">
        <f>IF(CopyTbl[[#This Row],[File Name]]="","",CopyTbl[[#This Row],[Source Path]]&amp;"\"&amp;CopyTbl[[#This Row],[File Name]]&amp;CopyTbl[[#This Row],[Extend]])</f>
        <v/>
      </c>
      <c r="B5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59" s="29" t="str">
        <f>IF(CopyTbl[[#This Row],[File Name]]="","",Rename!$B$3)</f>
        <v/>
      </c>
      <c r="D59" s="19" t="str">
        <f t="shared" si="0"/>
        <v/>
      </c>
      <c r="E59" s="17" t="str">
        <f>IF(CopyTbl[[#This Row],[File Name]]="","",LEFT(CopyTbl[[#This Row],[File Name]],6))</f>
        <v/>
      </c>
      <c r="F59" s="1" t="str">
        <f>IFERROR(IF(FilesTbl[[#This Row],[Old Name]]="","",FilesTbl[[#This Row],[Old Name]]),"")</f>
        <v/>
      </c>
      <c r="G59" s="18" t="str">
        <f>IFERROR(IF(FilesTbl[[#This Row],[Extension]]="","",FilesTbl[[#This Row],[Extension]]),"")</f>
        <v/>
      </c>
      <c r="H59" t="str">
        <f>IFERROR(VLOOKUP(LEFT(CopyTbl[[#This Row],[File Name]],6),MS_Data_TBL[],2,FALSE),"")</f>
        <v/>
      </c>
    </row>
    <row r="60" spans="1:8" ht="45" customHeight="1" x14ac:dyDescent="0.3">
      <c r="A60" s="1" t="str">
        <f>IF(CopyTbl[[#This Row],[File Name]]="","",CopyTbl[[#This Row],[Source Path]]&amp;"\"&amp;CopyTbl[[#This Row],[File Name]]&amp;CopyTbl[[#This Row],[Extend]])</f>
        <v/>
      </c>
      <c r="B6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0" s="29" t="str">
        <f>IF(CopyTbl[[#This Row],[File Name]]="","",Rename!$B$3)</f>
        <v/>
      </c>
      <c r="D60" s="19" t="str">
        <f t="shared" si="0"/>
        <v/>
      </c>
      <c r="E60" s="17" t="str">
        <f>IF(CopyTbl[[#This Row],[File Name]]="","",LEFT(CopyTbl[[#This Row],[File Name]],6))</f>
        <v/>
      </c>
      <c r="F60" s="1" t="str">
        <f>IFERROR(IF(FilesTbl[[#This Row],[Old Name]]="","",FilesTbl[[#This Row],[Old Name]]),"")</f>
        <v/>
      </c>
      <c r="G60" s="18" t="str">
        <f>IFERROR(IF(FilesTbl[[#This Row],[Extension]]="","",FilesTbl[[#This Row],[Extension]]),"")</f>
        <v/>
      </c>
      <c r="H60" t="str">
        <f>IFERROR(VLOOKUP(LEFT(CopyTbl[[#This Row],[File Name]],6),MS_Data_TBL[],2,FALSE),"")</f>
        <v/>
      </c>
    </row>
    <row r="61" spans="1:8" ht="45" customHeight="1" x14ac:dyDescent="0.3">
      <c r="A61" s="1" t="str">
        <f>IF(CopyTbl[[#This Row],[File Name]]="","",CopyTbl[[#This Row],[Source Path]]&amp;"\"&amp;CopyTbl[[#This Row],[File Name]]&amp;CopyTbl[[#This Row],[Extend]])</f>
        <v/>
      </c>
      <c r="B6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1" s="29" t="str">
        <f>IF(CopyTbl[[#This Row],[File Name]]="","",Rename!$B$3)</f>
        <v/>
      </c>
      <c r="D61" s="19" t="str">
        <f t="shared" si="0"/>
        <v/>
      </c>
      <c r="E61" s="17" t="str">
        <f>IF(CopyTbl[[#This Row],[File Name]]="","",LEFT(CopyTbl[[#This Row],[File Name]],6))</f>
        <v/>
      </c>
      <c r="F61" s="1" t="str">
        <f>IFERROR(IF(FilesTbl[[#This Row],[Old Name]]="","",FilesTbl[[#This Row],[Old Name]]),"")</f>
        <v/>
      </c>
      <c r="G61" s="18" t="str">
        <f>IFERROR(IF(FilesTbl[[#This Row],[Extension]]="","",FilesTbl[[#This Row],[Extension]]),"")</f>
        <v/>
      </c>
      <c r="H61" t="str">
        <f>IFERROR(VLOOKUP(LEFT(CopyTbl[[#This Row],[File Name]],6),MS_Data_TBL[],2,FALSE),"")</f>
        <v/>
      </c>
    </row>
    <row r="62" spans="1:8" ht="45" customHeight="1" x14ac:dyDescent="0.3">
      <c r="A62" s="1" t="str">
        <f>IF(CopyTbl[[#This Row],[File Name]]="","",CopyTbl[[#This Row],[Source Path]]&amp;"\"&amp;CopyTbl[[#This Row],[File Name]]&amp;CopyTbl[[#This Row],[Extend]])</f>
        <v/>
      </c>
      <c r="B6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2" s="29" t="str">
        <f>IF(CopyTbl[[#This Row],[File Name]]="","",Rename!$B$3)</f>
        <v/>
      </c>
      <c r="D62" s="19" t="str">
        <f t="shared" si="0"/>
        <v/>
      </c>
      <c r="E62" s="17" t="str">
        <f>IF(CopyTbl[[#This Row],[File Name]]="","",LEFT(CopyTbl[[#This Row],[File Name]],6))</f>
        <v/>
      </c>
      <c r="F62" s="1" t="str">
        <f>IFERROR(IF(FilesTbl[[#This Row],[Old Name]]="","",FilesTbl[[#This Row],[Old Name]]),"")</f>
        <v/>
      </c>
      <c r="G62" s="18" t="str">
        <f>IFERROR(IF(FilesTbl[[#This Row],[Extension]]="","",FilesTbl[[#This Row],[Extension]]),"")</f>
        <v/>
      </c>
      <c r="H62" t="str">
        <f>IFERROR(VLOOKUP(LEFT(CopyTbl[[#This Row],[File Name]],6),MS_Data_TBL[],2,FALSE),"")</f>
        <v/>
      </c>
    </row>
    <row r="63" spans="1:8" ht="45" customHeight="1" x14ac:dyDescent="0.3">
      <c r="A63" s="1" t="str">
        <f>IF(CopyTbl[[#This Row],[File Name]]="","",CopyTbl[[#This Row],[Source Path]]&amp;"\"&amp;CopyTbl[[#This Row],[File Name]]&amp;CopyTbl[[#This Row],[Extend]])</f>
        <v/>
      </c>
      <c r="B6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3" s="29" t="str">
        <f>IF(CopyTbl[[#This Row],[File Name]]="","",Rename!$B$3)</f>
        <v/>
      </c>
      <c r="D63" s="19" t="str">
        <f t="shared" si="0"/>
        <v/>
      </c>
      <c r="E63" s="17" t="str">
        <f>IF(CopyTbl[[#This Row],[File Name]]="","",LEFT(CopyTbl[[#This Row],[File Name]],6))</f>
        <v/>
      </c>
      <c r="F63" s="1" t="str">
        <f>IFERROR(IF(FilesTbl[[#This Row],[Old Name]]="","",FilesTbl[[#This Row],[Old Name]]),"")</f>
        <v/>
      </c>
      <c r="G63" s="18" t="str">
        <f>IFERROR(IF(FilesTbl[[#This Row],[Extension]]="","",FilesTbl[[#This Row],[Extension]]),"")</f>
        <v/>
      </c>
      <c r="H63" t="str">
        <f>IFERROR(VLOOKUP(LEFT(CopyTbl[[#This Row],[File Name]],6),MS_Data_TBL[],2,FALSE),"")</f>
        <v/>
      </c>
    </row>
    <row r="64" spans="1:8" ht="45" customHeight="1" x14ac:dyDescent="0.3">
      <c r="A64" s="1" t="str">
        <f>IF(CopyTbl[[#This Row],[File Name]]="","",CopyTbl[[#This Row],[Source Path]]&amp;"\"&amp;CopyTbl[[#This Row],[File Name]]&amp;CopyTbl[[#This Row],[Extend]])</f>
        <v/>
      </c>
      <c r="B6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4" s="29" t="str">
        <f>IF(CopyTbl[[#This Row],[File Name]]="","",Rename!$B$3)</f>
        <v/>
      </c>
      <c r="D64" s="19" t="str">
        <f t="shared" si="0"/>
        <v/>
      </c>
      <c r="E64" s="17" t="str">
        <f>IF(CopyTbl[[#This Row],[File Name]]="","",LEFT(CopyTbl[[#This Row],[File Name]],6))</f>
        <v/>
      </c>
      <c r="F64" s="1" t="str">
        <f>IFERROR(IF(FilesTbl[[#This Row],[Old Name]]="","",FilesTbl[[#This Row],[Old Name]]),"")</f>
        <v/>
      </c>
      <c r="G64" s="18" t="str">
        <f>IFERROR(IF(FilesTbl[[#This Row],[Extension]]="","",FilesTbl[[#This Row],[Extension]]),"")</f>
        <v/>
      </c>
      <c r="H64" t="str">
        <f>IFERROR(VLOOKUP(LEFT(CopyTbl[[#This Row],[File Name]],6),MS_Data_TBL[],2,FALSE),"")</f>
        <v/>
      </c>
    </row>
    <row r="65" spans="1:8" ht="45" customHeight="1" x14ac:dyDescent="0.3">
      <c r="A65" s="1" t="str">
        <f>IF(CopyTbl[[#This Row],[File Name]]="","",CopyTbl[[#This Row],[Source Path]]&amp;"\"&amp;CopyTbl[[#This Row],[File Name]]&amp;CopyTbl[[#This Row],[Extend]])</f>
        <v/>
      </c>
      <c r="B6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5" s="29" t="str">
        <f>IF(CopyTbl[[#This Row],[File Name]]="","",Rename!$B$3)</f>
        <v/>
      </c>
      <c r="D65" s="19" t="str">
        <f t="shared" si="0"/>
        <v/>
      </c>
      <c r="E65" s="17" t="str">
        <f>IF(CopyTbl[[#This Row],[File Name]]="","",LEFT(CopyTbl[[#This Row],[File Name]],6))</f>
        <v/>
      </c>
      <c r="F65" s="1" t="str">
        <f>IFERROR(IF(FilesTbl[[#This Row],[Old Name]]="","",FilesTbl[[#This Row],[Old Name]]),"")</f>
        <v/>
      </c>
      <c r="G65" s="18" t="str">
        <f>IFERROR(IF(FilesTbl[[#This Row],[Extension]]="","",FilesTbl[[#This Row],[Extension]]),"")</f>
        <v/>
      </c>
      <c r="H65" t="str">
        <f>IFERROR(VLOOKUP(LEFT(CopyTbl[[#This Row],[File Name]],6),MS_Data_TBL[],2,FALSE),"")</f>
        <v/>
      </c>
    </row>
    <row r="66" spans="1:8" ht="45" customHeight="1" x14ac:dyDescent="0.3">
      <c r="A66" s="1" t="str">
        <f>IF(CopyTbl[[#This Row],[File Name]]="","",CopyTbl[[#This Row],[Source Path]]&amp;"\"&amp;CopyTbl[[#This Row],[File Name]]&amp;CopyTbl[[#This Row],[Extend]])</f>
        <v/>
      </c>
      <c r="B6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6" s="29" t="str">
        <f>IF(CopyTbl[[#This Row],[File Name]]="","",Rename!$B$3)</f>
        <v/>
      </c>
      <c r="D66" s="19" t="str">
        <f t="shared" si="0"/>
        <v/>
      </c>
      <c r="E66" s="17" t="str">
        <f>IF(CopyTbl[[#This Row],[File Name]]="","",LEFT(CopyTbl[[#This Row],[File Name]],6))</f>
        <v/>
      </c>
      <c r="F66" s="1" t="str">
        <f>IFERROR(IF(FilesTbl[[#This Row],[Old Name]]="","",FilesTbl[[#This Row],[Old Name]]),"")</f>
        <v/>
      </c>
      <c r="G66" s="18" t="str">
        <f>IFERROR(IF(FilesTbl[[#This Row],[Extension]]="","",FilesTbl[[#This Row],[Extension]]),"")</f>
        <v/>
      </c>
      <c r="H66" t="str">
        <f>IFERROR(VLOOKUP(LEFT(CopyTbl[[#This Row],[File Name]],6),MS_Data_TBL[],2,FALSE),"")</f>
        <v/>
      </c>
    </row>
    <row r="67" spans="1:8" ht="45" customHeight="1" x14ac:dyDescent="0.3">
      <c r="A67" s="1" t="str">
        <f>IF(CopyTbl[[#This Row],[File Name]]="","",CopyTbl[[#This Row],[Source Path]]&amp;"\"&amp;CopyTbl[[#This Row],[File Name]]&amp;CopyTbl[[#This Row],[Extend]])</f>
        <v/>
      </c>
      <c r="B6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7" s="29" t="str">
        <f>IF(CopyTbl[[#This Row],[File Name]]="","",Rename!$B$3)</f>
        <v/>
      </c>
      <c r="D67" s="19" t="str">
        <f t="shared" si="0"/>
        <v/>
      </c>
      <c r="E67" s="17" t="str">
        <f>IF(CopyTbl[[#This Row],[File Name]]="","",LEFT(CopyTbl[[#This Row],[File Name]],6))</f>
        <v/>
      </c>
      <c r="F67" s="1" t="str">
        <f>IFERROR(IF(FilesTbl[[#This Row],[Old Name]]="","",FilesTbl[[#This Row],[Old Name]]),"")</f>
        <v/>
      </c>
      <c r="G67" s="18" t="str">
        <f>IFERROR(IF(FilesTbl[[#This Row],[Extension]]="","",FilesTbl[[#This Row],[Extension]]),"")</f>
        <v/>
      </c>
      <c r="H67" t="str">
        <f>IFERROR(VLOOKUP(LEFT(CopyTbl[[#This Row],[File Name]],6),MS_Data_TBL[],2,FALSE),"")</f>
        <v/>
      </c>
    </row>
    <row r="68" spans="1:8" ht="45" customHeight="1" x14ac:dyDescent="0.3">
      <c r="A68" s="1" t="str">
        <f>IF(CopyTbl[[#This Row],[File Name]]="","",CopyTbl[[#This Row],[Source Path]]&amp;"\"&amp;CopyTbl[[#This Row],[File Name]]&amp;CopyTbl[[#This Row],[Extend]])</f>
        <v/>
      </c>
      <c r="B6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8" s="29" t="str">
        <f>IF(CopyTbl[[#This Row],[File Name]]="","",Rename!$B$3)</f>
        <v/>
      </c>
      <c r="D68" s="19" t="str">
        <f t="shared" si="0"/>
        <v/>
      </c>
      <c r="E68" s="17" t="str">
        <f>IF(CopyTbl[[#This Row],[File Name]]="","",LEFT(CopyTbl[[#This Row],[File Name]],6))</f>
        <v/>
      </c>
      <c r="F68" s="1" t="str">
        <f>IFERROR(IF(FilesTbl[[#This Row],[Old Name]]="","",FilesTbl[[#This Row],[Old Name]]),"")</f>
        <v/>
      </c>
      <c r="G68" s="18" t="str">
        <f>IFERROR(IF(FilesTbl[[#This Row],[Extension]]="","",FilesTbl[[#This Row],[Extension]]),"")</f>
        <v/>
      </c>
      <c r="H68" t="str">
        <f>IFERROR(VLOOKUP(LEFT(CopyTbl[[#This Row],[File Name]],6),MS_Data_TBL[],2,FALSE),"")</f>
        <v/>
      </c>
    </row>
    <row r="69" spans="1:8" ht="45" customHeight="1" x14ac:dyDescent="0.3">
      <c r="A69" s="1" t="str">
        <f>IF(CopyTbl[[#This Row],[File Name]]="","",CopyTbl[[#This Row],[Source Path]]&amp;"\"&amp;CopyTbl[[#This Row],[File Name]]&amp;CopyTbl[[#This Row],[Extend]])</f>
        <v/>
      </c>
      <c r="B6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69" s="29" t="str">
        <f>IF(CopyTbl[[#This Row],[File Name]]="","",Rename!$B$3)</f>
        <v/>
      </c>
      <c r="D69" s="19" t="str">
        <f t="shared" si="0"/>
        <v/>
      </c>
      <c r="E69" s="17" t="str">
        <f>IF(CopyTbl[[#This Row],[File Name]]="","",LEFT(CopyTbl[[#This Row],[File Name]],6))</f>
        <v/>
      </c>
      <c r="F69" s="1" t="str">
        <f>IFERROR(IF(FilesTbl[[#This Row],[Old Name]]="","",FilesTbl[[#This Row],[Old Name]]),"")</f>
        <v/>
      </c>
      <c r="G69" s="18" t="str">
        <f>IFERROR(IF(FilesTbl[[#This Row],[Extension]]="","",FilesTbl[[#This Row],[Extension]]),"")</f>
        <v/>
      </c>
      <c r="H69" t="str">
        <f>IFERROR(VLOOKUP(LEFT(CopyTbl[[#This Row],[File Name]],6),MS_Data_TBL[],2,FALSE),"")</f>
        <v/>
      </c>
    </row>
    <row r="70" spans="1:8" ht="45" customHeight="1" x14ac:dyDescent="0.3">
      <c r="A70" s="1" t="str">
        <f>IF(CopyTbl[[#This Row],[File Name]]="","",CopyTbl[[#This Row],[Source Path]]&amp;"\"&amp;CopyTbl[[#This Row],[File Name]]&amp;CopyTbl[[#This Row],[Extend]])</f>
        <v/>
      </c>
      <c r="B7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0" s="29" t="str">
        <f>IF(CopyTbl[[#This Row],[File Name]]="","",Rename!$B$3)</f>
        <v/>
      </c>
      <c r="D70" s="19" t="str">
        <f t="shared" si="0"/>
        <v/>
      </c>
      <c r="E70" s="17" t="str">
        <f>IF(CopyTbl[[#This Row],[File Name]]="","",LEFT(CopyTbl[[#This Row],[File Name]],6))</f>
        <v/>
      </c>
      <c r="F70" s="1" t="str">
        <f>IFERROR(IF(FilesTbl[[#This Row],[Old Name]]="","",FilesTbl[[#This Row],[Old Name]]),"")</f>
        <v/>
      </c>
      <c r="G70" s="18" t="str">
        <f>IFERROR(IF(FilesTbl[[#This Row],[Extension]]="","",FilesTbl[[#This Row],[Extension]]),"")</f>
        <v/>
      </c>
      <c r="H70" t="str">
        <f>IFERROR(VLOOKUP(LEFT(CopyTbl[[#This Row],[File Name]],6),MS_Data_TBL[],2,FALSE),"")</f>
        <v/>
      </c>
    </row>
    <row r="71" spans="1:8" ht="45" customHeight="1" x14ac:dyDescent="0.3">
      <c r="A71" s="1" t="str">
        <f>IF(CopyTbl[[#This Row],[File Name]]="","",CopyTbl[[#This Row],[Source Path]]&amp;"\"&amp;CopyTbl[[#This Row],[File Name]]&amp;CopyTbl[[#This Row],[Extend]])</f>
        <v/>
      </c>
      <c r="B7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1" s="29" t="str">
        <f>IF(CopyTbl[[#This Row],[File Name]]="","",Rename!$B$3)</f>
        <v/>
      </c>
      <c r="D71" s="19" t="str">
        <f t="shared" si="0"/>
        <v/>
      </c>
      <c r="E71" s="17" t="str">
        <f>IF(CopyTbl[[#This Row],[File Name]]="","",LEFT(CopyTbl[[#This Row],[File Name]],6))</f>
        <v/>
      </c>
      <c r="F71" s="1" t="str">
        <f>IFERROR(IF(FilesTbl[[#This Row],[Old Name]]="","",FilesTbl[[#This Row],[Old Name]]),"")</f>
        <v/>
      </c>
      <c r="G71" s="18" t="str">
        <f>IFERROR(IF(FilesTbl[[#This Row],[Extension]]="","",FilesTbl[[#This Row],[Extension]]),"")</f>
        <v/>
      </c>
      <c r="H71" t="str">
        <f>IFERROR(VLOOKUP(LEFT(CopyTbl[[#This Row],[File Name]],6),MS_Data_TBL[],2,FALSE),"")</f>
        <v/>
      </c>
    </row>
    <row r="72" spans="1:8" ht="45" customHeight="1" x14ac:dyDescent="0.3">
      <c r="A72" s="1" t="str">
        <f>IF(CopyTbl[[#This Row],[File Name]]="","",CopyTbl[[#This Row],[Source Path]]&amp;"\"&amp;CopyTbl[[#This Row],[File Name]]&amp;CopyTbl[[#This Row],[Extend]])</f>
        <v/>
      </c>
      <c r="B7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2" s="29" t="str">
        <f>IF(CopyTbl[[#This Row],[File Name]]="","",Rename!$B$3)</f>
        <v/>
      </c>
      <c r="D72" s="19" t="str">
        <f t="shared" si="0"/>
        <v/>
      </c>
      <c r="E72" s="17" t="str">
        <f>IF(CopyTbl[[#This Row],[File Name]]="","",LEFT(CopyTbl[[#This Row],[File Name]],6))</f>
        <v/>
      </c>
      <c r="F72" s="1" t="str">
        <f>IFERROR(IF(FilesTbl[[#This Row],[Old Name]]="","",FilesTbl[[#This Row],[Old Name]]),"")</f>
        <v/>
      </c>
      <c r="G72" s="18" t="str">
        <f>IFERROR(IF(FilesTbl[[#This Row],[Extension]]="","",FilesTbl[[#This Row],[Extension]]),"")</f>
        <v/>
      </c>
      <c r="H72" t="str">
        <f>IFERROR(VLOOKUP(LEFT(CopyTbl[[#This Row],[File Name]],6),MS_Data_TBL[],2,FALSE),"")</f>
        <v/>
      </c>
    </row>
    <row r="73" spans="1:8" ht="45" customHeight="1" x14ac:dyDescent="0.3">
      <c r="A73" s="1" t="str">
        <f>IF(CopyTbl[[#This Row],[File Name]]="","",CopyTbl[[#This Row],[Source Path]]&amp;"\"&amp;CopyTbl[[#This Row],[File Name]]&amp;CopyTbl[[#This Row],[Extend]])</f>
        <v/>
      </c>
      <c r="B7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3" s="29" t="str">
        <f>IF(CopyTbl[[#This Row],[File Name]]="","",Rename!$B$3)</f>
        <v/>
      </c>
      <c r="D73" s="19" t="str">
        <f t="shared" si="0"/>
        <v/>
      </c>
      <c r="E73" s="17" t="str">
        <f>IF(CopyTbl[[#This Row],[File Name]]="","",LEFT(CopyTbl[[#This Row],[File Name]],6))</f>
        <v/>
      </c>
      <c r="F73" s="1" t="str">
        <f>IFERROR(IF(FilesTbl[[#This Row],[Old Name]]="","",FilesTbl[[#This Row],[Old Name]]),"")</f>
        <v/>
      </c>
      <c r="G73" s="18" t="str">
        <f>IFERROR(IF(FilesTbl[[#This Row],[Extension]]="","",FilesTbl[[#This Row],[Extension]]),"")</f>
        <v/>
      </c>
      <c r="H73" t="str">
        <f>IFERROR(VLOOKUP(LEFT(CopyTbl[[#This Row],[File Name]],6),MS_Data_TBL[],2,FALSE),"")</f>
        <v/>
      </c>
    </row>
    <row r="74" spans="1:8" ht="45" customHeight="1" x14ac:dyDescent="0.3">
      <c r="A74" s="1" t="str">
        <f>IF(CopyTbl[[#This Row],[File Name]]="","",CopyTbl[[#This Row],[Source Path]]&amp;"\"&amp;CopyTbl[[#This Row],[File Name]]&amp;CopyTbl[[#This Row],[Extend]])</f>
        <v/>
      </c>
      <c r="B7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4" s="29" t="str">
        <f>IF(CopyTbl[[#This Row],[File Name]]="","",Rename!$B$3)</f>
        <v/>
      </c>
      <c r="D74" s="19" t="str">
        <f t="shared" si="0"/>
        <v/>
      </c>
      <c r="E74" s="17" t="str">
        <f>IF(CopyTbl[[#This Row],[File Name]]="","",LEFT(CopyTbl[[#This Row],[File Name]],6))</f>
        <v/>
      </c>
      <c r="F74" s="1" t="str">
        <f>IFERROR(IF(FilesTbl[[#This Row],[Old Name]]="","",FilesTbl[[#This Row],[Old Name]]),"")</f>
        <v/>
      </c>
      <c r="G74" s="18" t="str">
        <f>IFERROR(IF(FilesTbl[[#This Row],[Extension]]="","",FilesTbl[[#This Row],[Extension]]),"")</f>
        <v/>
      </c>
      <c r="H74" t="str">
        <f>IFERROR(VLOOKUP(LEFT(CopyTbl[[#This Row],[File Name]],6),MS_Data_TBL[],2,FALSE),"")</f>
        <v/>
      </c>
    </row>
    <row r="75" spans="1:8" ht="45" customHeight="1" x14ac:dyDescent="0.3">
      <c r="A75" s="1" t="str">
        <f>IF(CopyTbl[[#This Row],[File Name]]="","",CopyTbl[[#This Row],[Source Path]]&amp;"\"&amp;CopyTbl[[#This Row],[File Name]]&amp;CopyTbl[[#This Row],[Extend]])</f>
        <v/>
      </c>
      <c r="B7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5" s="29" t="str">
        <f>IF(CopyTbl[[#This Row],[File Name]]="","",Rename!$B$3)</f>
        <v/>
      </c>
      <c r="D75" s="19" t="str">
        <f t="shared" si="0"/>
        <v/>
      </c>
      <c r="E75" s="17" t="str">
        <f>IF(CopyTbl[[#This Row],[File Name]]="","",LEFT(CopyTbl[[#This Row],[File Name]],6))</f>
        <v/>
      </c>
      <c r="F75" s="1" t="str">
        <f>IFERROR(IF(FilesTbl[[#This Row],[Old Name]]="","",FilesTbl[[#This Row],[Old Name]]),"")</f>
        <v/>
      </c>
      <c r="G75" s="18" t="str">
        <f>IFERROR(IF(FilesTbl[[#This Row],[Extension]]="","",FilesTbl[[#This Row],[Extension]]),"")</f>
        <v/>
      </c>
      <c r="H75" t="str">
        <f>IFERROR(VLOOKUP(LEFT(CopyTbl[[#This Row],[File Name]],6),MS_Data_TBL[],2,FALSE),"")</f>
        <v/>
      </c>
    </row>
    <row r="76" spans="1:8" ht="45" customHeight="1" x14ac:dyDescent="0.3">
      <c r="A76" s="1" t="str">
        <f>IF(CopyTbl[[#This Row],[File Name]]="","",CopyTbl[[#This Row],[Source Path]]&amp;"\"&amp;CopyTbl[[#This Row],[File Name]]&amp;CopyTbl[[#This Row],[Extend]])</f>
        <v/>
      </c>
      <c r="B7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6" s="29" t="str">
        <f>IF(CopyTbl[[#This Row],[File Name]]="","",Rename!$B$3)</f>
        <v/>
      </c>
      <c r="D76" s="19" t="str">
        <f t="shared" si="0"/>
        <v/>
      </c>
      <c r="E76" s="17" t="str">
        <f>IF(CopyTbl[[#This Row],[File Name]]="","",LEFT(CopyTbl[[#This Row],[File Name]],6))</f>
        <v/>
      </c>
      <c r="F76" s="1" t="str">
        <f>IFERROR(IF(FilesTbl[[#This Row],[Old Name]]="","",FilesTbl[[#This Row],[Old Name]]),"")</f>
        <v/>
      </c>
      <c r="G76" s="18" t="str">
        <f>IFERROR(IF(FilesTbl[[#This Row],[Extension]]="","",FilesTbl[[#This Row],[Extension]]),"")</f>
        <v/>
      </c>
      <c r="H76" t="str">
        <f>IFERROR(VLOOKUP(LEFT(CopyTbl[[#This Row],[File Name]],6),MS_Data_TBL[],2,FALSE),"")</f>
        <v/>
      </c>
    </row>
    <row r="77" spans="1:8" ht="45" customHeight="1" x14ac:dyDescent="0.3">
      <c r="A77" s="1" t="str">
        <f>IF(CopyTbl[[#This Row],[File Name]]="","",CopyTbl[[#This Row],[Source Path]]&amp;"\"&amp;CopyTbl[[#This Row],[File Name]]&amp;CopyTbl[[#This Row],[Extend]])</f>
        <v/>
      </c>
      <c r="B7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7" s="29" t="str">
        <f>IF(CopyTbl[[#This Row],[File Name]]="","",Rename!$B$3)</f>
        <v/>
      </c>
      <c r="D77" s="19" t="str">
        <f t="shared" ref="D77:D126" si="1">IF(C77="","",D76)</f>
        <v/>
      </c>
      <c r="E77" s="17" t="str">
        <f>IF(CopyTbl[[#This Row],[File Name]]="","",LEFT(CopyTbl[[#This Row],[File Name]],6))</f>
        <v/>
      </c>
      <c r="F77" s="1" t="str">
        <f>IFERROR(IF(FilesTbl[[#This Row],[Old Name]]="","",FilesTbl[[#This Row],[Old Name]]),"")</f>
        <v/>
      </c>
      <c r="G77" s="18" t="str">
        <f>IFERROR(IF(FilesTbl[[#This Row],[Extension]]="","",FilesTbl[[#This Row],[Extension]]),"")</f>
        <v/>
      </c>
      <c r="H77" t="str">
        <f>IFERROR(VLOOKUP(LEFT(CopyTbl[[#This Row],[File Name]],6),MS_Data_TBL[],2,FALSE),"")</f>
        <v/>
      </c>
    </row>
    <row r="78" spans="1:8" ht="45" customHeight="1" x14ac:dyDescent="0.3">
      <c r="A78" s="1" t="str">
        <f>IF(CopyTbl[[#This Row],[File Name]]="","",CopyTbl[[#This Row],[Source Path]]&amp;"\"&amp;CopyTbl[[#This Row],[File Name]]&amp;CopyTbl[[#This Row],[Extend]])</f>
        <v/>
      </c>
      <c r="B7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8" s="29" t="str">
        <f>IF(CopyTbl[[#This Row],[File Name]]="","",Rename!$B$3)</f>
        <v/>
      </c>
      <c r="D78" s="19" t="str">
        <f t="shared" si="1"/>
        <v/>
      </c>
      <c r="E78" s="17" t="str">
        <f>IF(CopyTbl[[#This Row],[File Name]]="","",LEFT(CopyTbl[[#This Row],[File Name]],6))</f>
        <v/>
      </c>
      <c r="F78" s="1" t="str">
        <f>IFERROR(IF(FilesTbl[[#This Row],[Old Name]]="","",FilesTbl[[#This Row],[Old Name]]),"")</f>
        <v/>
      </c>
      <c r="G78" s="18" t="str">
        <f>IFERROR(IF(FilesTbl[[#This Row],[Extension]]="","",FilesTbl[[#This Row],[Extension]]),"")</f>
        <v/>
      </c>
      <c r="H78" t="str">
        <f>IFERROR(VLOOKUP(LEFT(CopyTbl[[#This Row],[File Name]],6),MS_Data_TBL[],2,FALSE),"")</f>
        <v/>
      </c>
    </row>
    <row r="79" spans="1:8" ht="45" customHeight="1" x14ac:dyDescent="0.3">
      <c r="A79" s="1" t="str">
        <f>IF(CopyTbl[[#This Row],[File Name]]="","",CopyTbl[[#This Row],[Source Path]]&amp;"\"&amp;CopyTbl[[#This Row],[File Name]]&amp;CopyTbl[[#This Row],[Extend]])</f>
        <v/>
      </c>
      <c r="B7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79" s="29" t="str">
        <f>IF(CopyTbl[[#This Row],[File Name]]="","",Rename!$B$3)</f>
        <v/>
      </c>
      <c r="D79" s="19" t="str">
        <f t="shared" si="1"/>
        <v/>
      </c>
      <c r="E79" s="17" t="str">
        <f>IF(CopyTbl[[#This Row],[File Name]]="","",LEFT(CopyTbl[[#This Row],[File Name]],6))</f>
        <v/>
      </c>
      <c r="F79" s="1" t="str">
        <f>IFERROR(IF(FilesTbl[[#This Row],[Old Name]]="","",FilesTbl[[#This Row],[Old Name]]),"")</f>
        <v/>
      </c>
      <c r="G79" s="18" t="str">
        <f>IFERROR(IF(FilesTbl[[#This Row],[Extension]]="","",FilesTbl[[#This Row],[Extension]]),"")</f>
        <v/>
      </c>
      <c r="H79" t="str">
        <f>IFERROR(VLOOKUP(LEFT(CopyTbl[[#This Row],[File Name]],6),MS_Data_TBL[],2,FALSE),"")</f>
        <v/>
      </c>
    </row>
    <row r="80" spans="1:8" ht="45" customHeight="1" x14ac:dyDescent="0.3">
      <c r="A80" s="1" t="str">
        <f>IF(CopyTbl[[#This Row],[File Name]]="","",CopyTbl[[#This Row],[Source Path]]&amp;"\"&amp;CopyTbl[[#This Row],[File Name]]&amp;CopyTbl[[#This Row],[Extend]])</f>
        <v/>
      </c>
      <c r="B8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0" s="29" t="str">
        <f>IF(CopyTbl[[#This Row],[File Name]]="","",Rename!$B$3)</f>
        <v/>
      </c>
      <c r="D80" s="19" t="str">
        <f t="shared" si="1"/>
        <v/>
      </c>
      <c r="E80" s="17" t="str">
        <f>IF(CopyTbl[[#This Row],[File Name]]="","",LEFT(CopyTbl[[#This Row],[File Name]],6))</f>
        <v/>
      </c>
      <c r="F80" s="1" t="str">
        <f>IFERROR(IF(FilesTbl[[#This Row],[Old Name]]="","",FilesTbl[[#This Row],[Old Name]]),"")</f>
        <v/>
      </c>
      <c r="G80" s="18" t="str">
        <f>IFERROR(IF(FilesTbl[[#This Row],[Extension]]="","",FilesTbl[[#This Row],[Extension]]),"")</f>
        <v/>
      </c>
      <c r="H80" t="str">
        <f>IFERROR(VLOOKUP(LEFT(CopyTbl[[#This Row],[File Name]],6),MS_Data_TBL[],2,FALSE),"")</f>
        <v/>
      </c>
    </row>
    <row r="81" spans="1:8" ht="45" customHeight="1" x14ac:dyDescent="0.3">
      <c r="A81" s="1" t="str">
        <f>IF(CopyTbl[[#This Row],[File Name]]="","",CopyTbl[[#This Row],[Source Path]]&amp;"\"&amp;CopyTbl[[#This Row],[File Name]]&amp;CopyTbl[[#This Row],[Extend]])</f>
        <v/>
      </c>
      <c r="B8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1" s="29" t="str">
        <f>IF(CopyTbl[[#This Row],[File Name]]="","",Rename!$B$3)</f>
        <v/>
      </c>
      <c r="D81" s="19" t="str">
        <f t="shared" si="1"/>
        <v/>
      </c>
      <c r="E81" s="17" t="str">
        <f>IF(CopyTbl[[#This Row],[File Name]]="","",LEFT(CopyTbl[[#This Row],[File Name]],6))</f>
        <v/>
      </c>
      <c r="F81" s="1" t="str">
        <f>IFERROR(IF(FilesTbl[[#This Row],[Old Name]]="","",FilesTbl[[#This Row],[Old Name]]),"")</f>
        <v/>
      </c>
      <c r="G81" s="18" t="str">
        <f>IFERROR(IF(FilesTbl[[#This Row],[Extension]]="","",FilesTbl[[#This Row],[Extension]]),"")</f>
        <v/>
      </c>
      <c r="H81" t="str">
        <f>IFERROR(VLOOKUP(LEFT(CopyTbl[[#This Row],[File Name]],6),MS_Data_TBL[],2,FALSE),"")</f>
        <v/>
      </c>
    </row>
    <row r="82" spans="1:8" ht="45" customHeight="1" x14ac:dyDescent="0.3">
      <c r="A82" s="1" t="str">
        <f>IF(CopyTbl[[#This Row],[File Name]]="","",CopyTbl[[#This Row],[Source Path]]&amp;"\"&amp;CopyTbl[[#This Row],[File Name]]&amp;CopyTbl[[#This Row],[Extend]])</f>
        <v/>
      </c>
      <c r="B8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2" s="29" t="str">
        <f>IF(CopyTbl[[#This Row],[File Name]]="","",Rename!$B$3)</f>
        <v/>
      </c>
      <c r="D82" s="19" t="str">
        <f t="shared" si="1"/>
        <v/>
      </c>
      <c r="E82" s="17" t="str">
        <f>IF(CopyTbl[[#This Row],[File Name]]="","",LEFT(CopyTbl[[#This Row],[File Name]],6))</f>
        <v/>
      </c>
      <c r="F82" s="1" t="str">
        <f>IFERROR(IF(FilesTbl[[#This Row],[Old Name]]="","",FilesTbl[[#This Row],[Old Name]]),"")</f>
        <v/>
      </c>
      <c r="G82" s="18" t="str">
        <f>IFERROR(IF(FilesTbl[[#This Row],[Extension]]="","",FilesTbl[[#This Row],[Extension]]),"")</f>
        <v/>
      </c>
      <c r="H82" t="str">
        <f>IFERROR(VLOOKUP(LEFT(CopyTbl[[#This Row],[File Name]],6),MS_Data_TBL[],2,FALSE),"")</f>
        <v/>
      </c>
    </row>
    <row r="83" spans="1:8" ht="45" customHeight="1" x14ac:dyDescent="0.3">
      <c r="A83" s="1" t="str">
        <f>IF(CopyTbl[[#This Row],[File Name]]="","",CopyTbl[[#This Row],[Source Path]]&amp;"\"&amp;CopyTbl[[#This Row],[File Name]]&amp;CopyTbl[[#This Row],[Extend]])</f>
        <v/>
      </c>
      <c r="B8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3" s="29" t="str">
        <f>IF(CopyTbl[[#This Row],[File Name]]="","",Rename!$B$3)</f>
        <v/>
      </c>
      <c r="D83" s="19" t="str">
        <f t="shared" si="1"/>
        <v/>
      </c>
      <c r="E83" s="17" t="str">
        <f>IF(CopyTbl[[#This Row],[File Name]]="","",LEFT(CopyTbl[[#This Row],[File Name]],6))</f>
        <v/>
      </c>
      <c r="F83" s="1" t="str">
        <f>IFERROR(IF(FilesTbl[[#This Row],[Old Name]]="","",FilesTbl[[#This Row],[Old Name]]),"")</f>
        <v/>
      </c>
      <c r="G83" s="18" t="str">
        <f>IFERROR(IF(FilesTbl[[#This Row],[Extension]]="","",FilesTbl[[#This Row],[Extension]]),"")</f>
        <v/>
      </c>
      <c r="H83" t="str">
        <f>IFERROR(VLOOKUP(LEFT(CopyTbl[[#This Row],[File Name]],6),MS_Data_TBL[],2,FALSE),"")</f>
        <v/>
      </c>
    </row>
    <row r="84" spans="1:8" ht="45" customHeight="1" x14ac:dyDescent="0.3">
      <c r="A84" s="1" t="str">
        <f>IF(CopyTbl[[#This Row],[File Name]]="","",CopyTbl[[#This Row],[Source Path]]&amp;"\"&amp;CopyTbl[[#This Row],[File Name]]&amp;CopyTbl[[#This Row],[Extend]])</f>
        <v/>
      </c>
      <c r="B8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4" s="29" t="str">
        <f>IF(CopyTbl[[#This Row],[File Name]]="","",Rename!$B$3)</f>
        <v/>
      </c>
      <c r="D84" s="19" t="str">
        <f t="shared" si="1"/>
        <v/>
      </c>
      <c r="E84" s="17" t="str">
        <f>IF(CopyTbl[[#This Row],[File Name]]="","",LEFT(CopyTbl[[#This Row],[File Name]],6))</f>
        <v/>
      </c>
      <c r="F84" s="1" t="str">
        <f>IFERROR(IF(FilesTbl[[#This Row],[Old Name]]="","",FilesTbl[[#This Row],[Old Name]]),"")</f>
        <v/>
      </c>
      <c r="G84" s="18" t="str">
        <f>IFERROR(IF(FilesTbl[[#This Row],[Extension]]="","",FilesTbl[[#This Row],[Extension]]),"")</f>
        <v/>
      </c>
      <c r="H84" t="str">
        <f>IFERROR(VLOOKUP(LEFT(CopyTbl[[#This Row],[File Name]],6),MS_Data_TBL[],2,FALSE),"")</f>
        <v/>
      </c>
    </row>
    <row r="85" spans="1:8" ht="45" customHeight="1" x14ac:dyDescent="0.3">
      <c r="A85" s="1" t="str">
        <f>IF(CopyTbl[[#This Row],[File Name]]="","",CopyTbl[[#This Row],[Source Path]]&amp;"\"&amp;CopyTbl[[#This Row],[File Name]]&amp;CopyTbl[[#This Row],[Extend]])</f>
        <v/>
      </c>
      <c r="B8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5" s="29" t="str">
        <f>IF(CopyTbl[[#This Row],[File Name]]="","",Rename!$B$3)</f>
        <v/>
      </c>
      <c r="D85" s="19" t="str">
        <f t="shared" si="1"/>
        <v/>
      </c>
      <c r="E85" s="17" t="str">
        <f>IF(CopyTbl[[#This Row],[File Name]]="","",LEFT(CopyTbl[[#This Row],[File Name]],6))</f>
        <v/>
      </c>
      <c r="F85" s="1" t="str">
        <f>IFERROR(IF(FilesTbl[[#This Row],[Old Name]]="","",FilesTbl[[#This Row],[Old Name]]),"")</f>
        <v/>
      </c>
      <c r="G85" s="18" t="str">
        <f>IFERROR(IF(FilesTbl[[#This Row],[Extension]]="","",FilesTbl[[#This Row],[Extension]]),"")</f>
        <v/>
      </c>
      <c r="H85" t="str">
        <f>IFERROR(VLOOKUP(LEFT(CopyTbl[[#This Row],[File Name]],6),MS_Data_TBL[],2,FALSE),"")</f>
        <v/>
      </c>
    </row>
    <row r="86" spans="1:8" ht="45" customHeight="1" x14ac:dyDescent="0.3">
      <c r="A86" s="1" t="str">
        <f>IF(CopyTbl[[#This Row],[File Name]]="","",CopyTbl[[#This Row],[Source Path]]&amp;"\"&amp;CopyTbl[[#This Row],[File Name]]&amp;CopyTbl[[#This Row],[Extend]])</f>
        <v/>
      </c>
      <c r="B8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6" s="29" t="str">
        <f>IF(CopyTbl[[#This Row],[File Name]]="","",Rename!$B$3)</f>
        <v/>
      </c>
      <c r="D86" s="19" t="str">
        <f t="shared" si="1"/>
        <v/>
      </c>
      <c r="E86" s="17" t="str">
        <f>IF(CopyTbl[[#This Row],[File Name]]="","",LEFT(CopyTbl[[#This Row],[File Name]],6))</f>
        <v/>
      </c>
      <c r="F86" s="1" t="str">
        <f>IFERROR(IF(FilesTbl[[#This Row],[Old Name]]="","",FilesTbl[[#This Row],[Old Name]]),"")</f>
        <v/>
      </c>
      <c r="G86" s="18" t="str">
        <f>IFERROR(IF(FilesTbl[[#This Row],[Extension]]="","",FilesTbl[[#This Row],[Extension]]),"")</f>
        <v/>
      </c>
      <c r="H86" t="str">
        <f>IFERROR(VLOOKUP(LEFT(CopyTbl[[#This Row],[File Name]],6),MS_Data_TBL[],2,FALSE),"")</f>
        <v/>
      </c>
    </row>
    <row r="87" spans="1:8" ht="45" customHeight="1" x14ac:dyDescent="0.3">
      <c r="A87" s="1" t="str">
        <f>IF(CopyTbl[[#This Row],[File Name]]="","",CopyTbl[[#This Row],[Source Path]]&amp;"\"&amp;CopyTbl[[#This Row],[File Name]]&amp;CopyTbl[[#This Row],[Extend]])</f>
        <v/>
      </c>
      <c r="B8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7" s="29" t="str">
        <f>IF(CopyTbl[[#This Row],[File Name]]="","",Rename!$B$3)</f>
        <v/>
      </c>
      <c r="D87" s="19" t="str">
        <f t="shared" si="1"/>
        <v/>
      </c>
      <c r="E87" s="17" t="str">
        <f>IF(CopyTbl[[#This Row],[File Name]]="","",LEFT(CopyTbl[[#This Row],[File Name]],6))</f>
        <v/>
      </c>
      <c r="F87" s="1" t="str">
        <f>IFERROR(IF(FilesTbl[[#This Row],[Old Name]]="","",FilesTbl[[#This Row],[Old Name]]),"")</f>
        <v/>
      </c>
      <c r="G87" s="18" t="str">
        <f>IFERROR(IF(FilesTbl[[#This Row],[Extension]]="","",FilesTbl[[#This Row],[Extension]]),"")</f>
        <v/>
      </c>
      <c r="H87" t="str">
        <f>IFERROR(VLOOKUP(LEFT(CopyTbl[[#This Row],[File Name]],6),MS_Data_TBL[],2,FALSE),"")</f>
        <v/>
      </c>
    </row>
    <row r="88" spans="1:8" ht="45" customHeight="1" x14ac:dyDescent="0.3">
      <c r="A88" s="1" t="str">
        <f>IF(CopyTbl[[#This Row],[File Name]]="","",CopyTbl[[#This Row],[Source Path]]&amp;"\"&amp;CopyTbl[[#This Row],[File Name]]&amp;CopyTbl[[#This Row],[Extend]])</f>
        <v/>
      </c>
      <c r="B8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8" s="29" t="str">
        <f>IF(CopyTbl[[#This Row],[File Name]]="","",Rename!$B$3)</f>
        <v/>
      </c>
      <c r="D88" s="19" t="str">
        <f t="shared" si="1"/>
        <v/>
      </c>
      <c r="E88" s="17" t="str">
        <f>IF(CopyTbl[[#This Row],[File Name]]="","",LEFT(CopyTbl[[#This Row],[File Name]],6))</f>
        <v/>
      </c>
      <c r="F88" s="1" t="str">
        <f>IFERROR(IF(FilesTbl[[#This Row],[Old Name]]="","",FilesTbl[[#This Row],[Old Name]]),"")</f>
        <v/>
      </c>
      <c r="G88" s="18" t="str">
        <f>IFERROR(IF(FilesTbl[[#This Row],[Extension]]="","",FilesTbl[[#This Row],[Extension]]),"")</f>
        <v/>
      </c>
      <c r="H88" t="str">
        <f>IFERROR(VLOOKUP(LEFT(CopyTbl[[#This Row],[File Name]],6),MS_Data_TBL[],2,FALSE),"")</f>
        <v/>
      </c>
    </row>
    <row r="89" spans="1:8" ht="45" customHeight="1" x14ac:dyDescent="0.3">
      <c r="A89" s="1" t="str">
        <f>IF(CopyTbl[[#This Row],[File Name]]="","",CopyTbl[[#This Row],[Source Path]]&amp;"\"&amp;CopyTbl[[#This Row],[File Name]]&amp;CopyTbl[[#This Row],[Extend]])</f>
        <v/>
      </c>
      <c r="B8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89" s="29" t="str">
        <f>IF(CopyTbl[[#This Row],[File Name]]="","",Rename!$B$3)</f>
        <v/>
      </c>
      <c r="D89" s="19" t="str">
        <f t="shared" si="1"/>
        <v/>
      </c>
      <c r="E89" s="17" t="str">
        <f>IF(CopyTbl[[#This Row],[File Name]]="","",LEFT(CopyTbl[[#This Row],[File Name]],6))</f>
        <v/>
      </c>
      <c r="F89" s="1" t="str">
        <f>IFERROR(IF(FilesTbl[[#This Row],[Old Name]]="","",FilesTbl[[#This Row],[Old Name]]),"")</f>
        <v/>
      </c>
      <c r="G89" s="18" t="str">
        <f>IFERROR(IF(FilesTbl[[#This Row],[Extension]]="","",FilesTbl[[#This Row],[Extension]]),"")</f>
        <v/>
      </c>
      <c r="H89" t="str">
        <f>IFERROR(VLOOKUP(LEFT(CopyTbl[[#This Row],[File Name]],6),MS_Data_TBL[],2,FALSE),"")</f>
        <v/>
      </c>
    </row>
    <row r="90" spans="1:8" ht="45" customHeight="1" x14ac:dyDescent="0.3">
      <c r="A90" s="1" t="str">
        <f>IF(CopyTbl[[#This Row],[File Name]]="","",CopyTbl[[#This Row],[Source Path]]&amp;"\"&amp;CopyTbl[[#This Row],[File Name]]&amp;CopyTbl[[#This Row],[Extend]])</f>
        <v/>
      </c>
      <c r="B9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0" s="29" t="str">
        <f>IF(CopyTbl[[#This Row],[File Name]]="","",Rename!$B$3)</f>
        <v/>
      </c>
      <c r="D90" s="19" t="str">
        <f t="shared" si="1"/>
        <v/>
      </c>
      <c r="E90" s="17" t="str">
        <f>IF(CopyTbl[[#This Row],[File Name]]="","",LEFT(CopyTbl[[#This Row],[File Name]],6))</f>
        <v/>
      </c>
      <c r="F90" s="1" t="str">
        <f>IFERROR(IF(FilesTbl[[#This Row],[Old Name]]="","",FilesTbl[[#This Row],[Old Name]]),"")</f>
        <v/>
      </c>
      <c r="G90" s="18" t="str">
        <f>IFERROR(IF(FilesTbl[[#This Row],[Extension]]="","",FilesTbl[[#This Row],[Extension]]),"")</f>
        <v/>
      </c>
      <c r="H90" t="str">
        <f>IFERROR(VLOOKUP(LEFT(CopyTbl[[#This Row],[File Name]],6),MS_Data_TBL[],2,FALSE),"")</f>
        <v/>
      </c>
    </row>
    <row r="91" spans="1:8" ht="45" customHeight="1" x14ac:dyDescent="0.3">
      <c r="A91" s="1" t="str">
        <f>IF(CopyTbl[[#This Row],[File Name]]="","",CopyTbl[[#This Row],[Source Path]]&amp;"\"&amp;CopyTbl[[#This Row],[File Name]]&amp;CopyTbl[[#This Row],[Extend]])</f>
        <v/>
      </c>
      <c r="B9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1" s="29" t="str">
        <f>IF(CopyTbl[[#This Row],[File Name]]="","",Rename!$B$3)</f>
        <v/>
      </c>
      <c r="D91" s="19" t="str">
        <f t="shared" si="1"/>
        <v/>
      </c>
      <c r="E91" s="17" t="str">
        <f>IF(CopyTbl[[#This Row],[File Name]]="","",LEFT(CopyTbl[[#This Row],[File Name]],6))</f>
        <v/>
      </c>
      <c r="F91" s="1" t="str">
        <f>IFERROR(IF(FilesTbl[[#This Row],[Old Name]]="","",FilesTbl[[#This Row],[Old Name]]),"")</f>
        <v/>
      </c>
      <c r="G91" s="18" t="str">
        <f>IFERROR(IF(FilesTbl[[#This Row],[Extension]]="","",FilesTbl[[#This Row],[Extension]]),"")</f>
        <v/>
      </c>
      <c r="H91" t="str">
        <f>IFERROR(VLOOKUP(LEFT(CopyTbl[[#This Row],[File Name]],6),MS_Data_TBL[],2,FALSE),"")</f>
        <v/>
      </c>
    </row>
    <row r="92" spans="1:8" ht="45" customHeight="1" x14ac:dyDescent="0.3">
      <c r="A92" s="1" t="str">
        <f>IF(CopyTbl[[#This Row],[File Name]]="","",CopyTbl[[#This Row],[Source Path]]&amp;"\"&amp;CopyTbl[[#This Row],[File Name]]&amp;CopyTbl[[#This Row],[Extend]])</f>
        <v/>
      </c>
      <c r="B9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2" s="29" t="str">
        <f>IF(CopyTbl[[#This Row],[File Name]]="","",Rename!$B$3)</f>
        <v/>
      </c>
      <c r="D92" s="19" t="str">
        <f t="shared" si="1"/>
        <v/>
      </c>
      <c r="E92" s="17" t="str">
        <f>IF(CopyTbl[[#This Row],[File Name]]="","",LEFT(CopyTbl[[#This Row],[File Name]],6))</f>
        <v/>
      </c>
      <c r="F92" s="1" t="str">
        <f>IFERROR(IF(FilesTbl[[#This Row],[Old Name]]="","",FilesTbl[[#This Row],[Old Name]]),"")</f>
        <v/>
      </c>
      <c r="G92" s="18" t="str">
        <f>IFERROR(IF(FilesTbl[[#This Row],[Extension]]="","",FilesTbl[[#This Row],[Extension]]),"")</f>
        <v/>
      </c>
      <c r="H92" t="str">
        <f>IFERROR(VLOOKUP(LEFT(CopyTbl[[#This Row],[File Name]],6),MS_Data_TBL[],2,FALSE),"")</f>
        <v/>
      </c>
    </row>
    <row r="93" spans="1:8" ht="45" customHeight="1" x14ac:dyDescent="0.3">
      <c r="A93" s="1" t="str">
        <f>IF(CopyTbl[[#This Row],[File Name]]="","",CopyTbl[[#This Row],[Source Path]]&amp;"\"&amp;CopyTbl[[#This Row],[File Name]]&amp;CopyTbl[[#This Row],[Extend]])</f>
        <v/>
      </c>
      <c r="B9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3" s="29" t="str">
        <f>IF(CopyTbl[[#This Row],[File Name]]="","",Rename!$B$3)</f>
        <v/>
      </c>
      <c r="D93" s="19" t="str">
        <f t="shared" si="1"/>
        <v/>
      </c>
      <c r="E93" s="17" t="str">
        <f>IF(CopyTbl[[#This Row],[File Name]]="","",LEFT(CopyTbl[[#This Row],[File Name]],6))</f>
        <v/>
      </c>
      <c r="F93" s="1" t="str">
        <f>IFERROR(IF(FilesTbl[[#This Row],[Old Name]]="","",FilesTbl[[#This Row],[Old Name]]),"")</f>
        <v/>
      </c>
      <c r="G93" s="18" t="str">
        <f>IFERROR(IF(FilesTbl[[#This Row],[Extension]]="","",FilesTbl[[#This Row],[Extension]]),"")</f>
        <v/>
      </c>
      <c r="H93" t="str">
        <f>IFERROR(VLOOKUP(LEFT(CopyTbl[[#This Row],[File Name]],6),MS_Data_TBL[],2,FALSE),"")</f>
        <v/>
      </c>
    </row>
    <row r="94" spans="1:8" ht="45" customHeight="1" x14ac:dyDescent="0.3">
      <c r="A94" s="1" t="str">
        <f>IF(CopyTbl[[#This Row],[File Name]]="","",CopyTbl[[#This Row],[Source Path]]&amp;"\"&amp;CopyTbl[[#This Row],[File Name]]&amp;CopyTbl[[#This Row],[Extend]])</f>
        <v/>
      </c>
      <c r="B9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4" s="29" t="str">
        <f>IF(CopyTbl[[#This Row],[File Name]]="","",Rename!$B$3)</f>
        <v/>
      </c>
      <c r="D94" s="19" t="str">
        <f t="shared" si="1"/>
        <v/>
      </c>
      <c r="E94" s="17" t="str">
        <f>IF(CopyTbl[[#This Row],[File Name]]="","",LEFT(CopyTbl[[#This Row],[File Name]],6))</f>
        <v/>
      </c>
      <c r="F94" s="1" t="str">
        <f>IFERROR(IF(FilesTbl[[#This Row],[Old Name]]="","",FilesTbl[[#This Row],[Old Name]]),"")</f>
        <v/>
      </c>
      <c r="G94" s="18" t="str">
        <f>IFERROR(IF(FilesTbl[[#This Row],[Extension]]="","",FilesTbl[[#This Row],[Extension]]),"")</f>
        <v/>
      </c>
      <c r="H94" t="str">
        <f>IFERROR(VLOOKUP(LEFT(CopyTbl[[#This Row],[File Name]],6),MS_Data_TBL[],2,FALSE),"")</f>
        <v/>
      </c>
    </row>
    <row r="95" spans="1:8" ht="45" customHeight="1" x14ac:dyDescent="0.3">
      <c r="A95" s="1" t="str">
        <f>IF(CopyTbl[[#This Row],[File Name]]="","",CopyTbl[[#This Row],[Source Path]]&amp;"\"&amp;CopyTbl[[#This Row],[File Name]]&amp;CopyTbl[[#This Row],[Extend]])</f>
        <v/>
      </c>
      <c r="B9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5" s="29" t="str">
        <f>IF(CopyTbl[[#This Row],[File Name]]="","",Rename!$B$3)</f>
        <v/>
      </c>
      <c r="D95" s="19" t="str">
        <f t="shared" si="1"/>
        <v/>
      </c>
      <c r="E95" s="17" t="str">
        <f>IF(CopyTbl[[#This Row],[File Name]]="","",LEFT(CopyTbl[[#This Row],[File Name]],6))</f>
        <v/>
      </c>
      <c r="F95" s="1" t="str">
        <f>IFERROR(IF(FilesTbl[[#This Row],[Old Name]]="","",FilesTbl[[#This Row],[Old Name]]),"")</f>
        <v/>
      </c>
      <c r="G95" s="18" t="str">
        <f>IFERROR(IF(FilesTbl[[#This Row],[Extension]]="","",FilesTbl[[#This Row],[Extension]]),"")</f>
        <v/>
      </c>
      <c r="H95" t="str">
        <f>IFERROR(VLOOKUP(LEFT(CopyTbl[[#This Row],[File Name]],6),MS_Data_TBL[],2,FALSE),"")</f>
        <v/>
      </c>
    </row>
    <row r="96" spans="1:8" ht="45" customHeight="1" x14ac:dyDescent="0.3">
      <c r="A96" s="1" t="str">
        <f>IF(CopyTbl[[#This Row],[File Name]]="","",CopyTbl[[#This Row],[Source Path]]&amp;"\"&amp;CopyTbl[[#This Row],[File Name]]&amp;CopyTbl[[#This Row],[Extend]])</f>
        <v/>
      </c>
      <c r="B9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6" s="29" t="str">
        <f>IF(CopyTbl[[#This Row],[File Name]]="","",Rename!$B$3)</f>
        <v/>
      </c>
      <c r="D96" s="19" t="str">
        <f t="shared" si="1"/>
        <v/>
      </c>
      <c r="E96" s="17" t="str">
        <f>IF(CopyTbl[[#This Row],[File Name]]="","",LEFT(CopyTbl[[#This Row],[File Name]],6))</f>
        <v/>
      </c>
      <c r="F96" s="1" t="str">
        <f>IFERROR(IF(FilesTbl[[#This Row],[Old Name]]="","",FilesTbl[[#This Row],[Old Name]]),"")</f>
        <v/>
      </c>
      <c r="G96" s="18" t="str">
        <f>IFERROR(IF(FilesTbl[[#This Row],[Extension]]="","",FilesTbl[[#This Row],[Extension]]),"")</f>
        <v/>
      </c>
      <c r="H96" t="str">
        <f>IFERROR(VLOOKUP(LEFT(CopyTbl[[#This Row],[File Name]],6),MS_Data_TBL[],2,FALSE),"")</f>
        <v/>
      </c>
    </row>
    <row r="97" spans="1:8" ht="45" customHeight="1" x14ac:dyDescent="0.3">
      <c r="A97" s="1" t="str">
        <f>IF(CopyTbl[[#This Row],[File Name]]="","",CopyTbl[[#This Row],[Source Path]]&amp;"\"&amp;CopyTbl[[#This Row],[File Name]]&amp;CopyTbl[[#This Row],[Extend]])</f>
        <v/>
      </c>
      <c r="B9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7" s="29" t="str">
        <f>IF(CopyTbl[[#This Row],[File Name]]="","",Rename!$B$3)</f>
        <v/>
      </c>
      <c r="D97" s="19" t="str">
        <f t="shared" si="1"/>
        <v/>
      </c>
      <c r="E97" s="17" t="str">
        <f>IF(CopyTbl[[#This Row],[File Name]]="","",LEFT(CopyTbl[[#This Row],[File Name]],6))</f>
        <v/>
      </c>
      <c r="F97" s="1" t="str">
        <f>IFERROR(IF(FilesTbl[[#This Row],[Old Name]]="","",FilesTbl[[#This Row],[Old Name]]),"")</f>
        <v/>
      </c>
      <c r="G97" s="18" t="str">
        <f>IFERROR(IF(FilesTbl[[#This Row],[Extension]]="","",FilesTbl[[#This Row],[Extension]]),"")</f>
        <v/>
      </c>
      <c r="H97" t="str">
        <f>IFERROR(VLOOKUP(LEFT(CopyTbl[[#This Row],[File Name]],6),MS_Data_TBL[],2,FALSE),"")</f>
        <v/>
      </c>
    </row>
    <row r="98" spans="1:8" ht="45" customHeight="1" x14ac:dyDescent="0.3">
      <c r="A98" s="1" t="str">
        <f>IF(CopyTbl[[#This Row],[File Name]]="","",CopyTbl[[#This Row],[Source Path]]&amp;"\"&amp;CopyTbl[[#This Row],[File Name]]&amp;CopyTbl[[#This Row],[Extend]])</f>
        <v/>
      </c>
      <c r="B9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8" s="29" t="str">
        <f>IF(CopyTbl[[#This Row],[File Name]]="","",Rename!$B$3)</f>
        <v/>
      </c>
      <c r="D98" s="19" t="str">
        <f t="shared" si="1"/>
        <v/>
      </c>
      <c r="E98" s="17" t="str">
        <f>IF(CopyTbl[[#This Row],[File Name]]="","",LEFT(CopyTbl[[#This Row],[File Name]],6))</f>
        <v/>
      </c>
      <c r="F98" s="1" t="str">
        <f>IFERROR(IF(FilesTbl[[#This Row],[Old Name]]="","",FilesTbl[[#This Row],[Old Name]]),"")</f>
        <v/>
      </c>
      <c r="G98" s="18" t="str">
        <f>IFERROR(IF(FilesTbl[[#This Row],[Extension]]="","",FilesTbl[[#This Row],[Extension]]),"")</f>
        <v/>
      </c>
      <c r="H98" t="str">
        <f>IFERROR(VLOOKUP(LEFT(CopyTbl[[#This Row],[File Name]],6),MS_Data_TBL[],2,FALSE),"")</f>
        <v/>
      </c>
    </row>
    <row r="99" spans="1:8" ht="45" customHeight="1" x14ac:dyDescent="0.3">
      <c r="A99" s="1" t="str">
        <f>IF(CopyTbl[[#This Row],[File Name]]="","",CopyTbl[[#This Row],[Source Path]]&amp;"\"&amp;CopyTbl[[#This Row],[File Name]]&amp;CopyTbl[[#This Row],[Extend]])</f>
        <v/>
      </c>
      <c r="B9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99" s="29" t="str">
        <f>IF(CopyTbl[[#This Row],[File Name]]="","",Rename!$B$3)</f>
        <v/>
      </c>
      <c r="D99" s="19" t="str">
        <f t="shared" si="1"/>
        <v/>
      </c>
      <c r="E99" s="17" t="str">
        <f>IF(CopyTbl[[#This Row],[File Name]]="","",LEFT(CopyTbl[[#This Row],[File Name]],6))</f>
        <v/>
      </c>
      <c r="F99" s="1" t="str">
        <f>IFERROR(IF(FilesTbl[[#This Row],[Old Name]]="","",FilesTbl[[#This Row],[Old Name]]),"")</f>
        <v/>
      </c>
      <c r="G99" s="18" t="str">
        <f>IFERROR(IF(FilesTbl[[#This Row],[Extension]]="","",FilesTbl[[#This Row],[Extension]]),"")</f>
        <v/>
      </c>
      <c r="H99" t="str">
        <f>IFERROR(VLOOKUP(LEFT(CopyTbl[[#This Row],[File Name]],6),MS_Data_TBL[],2,FALSE),"")</f>
        <v/>
      </c>
    </row>
    <row r="100" spans="1:8" ht="45" customHeight="1" x14ac:dyDescent="0.3">
      <c r="A100" s="1" t="str">
        <f>IF(CopyTbl[[#This Row],[File Name]]="","",CopyTbl[[#This Row],[Source Path]]&amp;"\"&amp;CopyTbl[[#This Row],[File Name]]&amp;CopyTbl[[#This Row],[Extend]])</f>
        <v/>
      </c>
      <c r="B10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0" s="29" t="str">
        <f>IF(CopyTbl[[#This Row],[File Name]]="","",Rename!$B$3)</f>
        <v/>
      </c>
      <c r="D100" s="19" t="str">
        <f t="shared" si="1"/>
        <v/>
      </c>
      <c r="E100" s="17" t="str">
        <f>IF(CopyTbl[[#This Row],[File Name]]="","",LEFT(CopyTbl[[#This Row],[File Name]],6))</f>
        <v/>
      </c>
      <c r="F100" s="1" t="str">
        <f>IFERROR(IF(FilesTbl[[#This Row],[Old Name]]="","",FilesTbl[[#This Row],[Old Name]]),"")</f>
        <v/>
      </c>
      <c r="G100" s="18" t="str">
        <f>IFERROR(IF(FilesTbl[[#This Row],[Extension]]="","",FilesTbl[[#This Row],[Extension]]),"")</f>
        <v/>
      </c>
      <c r="H100" t="str">
        <f>IFERROR(VLOOKUP(LEFT(CopyTbl[[#This Row],[File Name]],6),MS_Data_TBL[],2,FALSE),"")</f>
        <v/>
      </c>
    </row>
    <row r="101" spans="1:8" ht="45" customHeight="1" x14ac:dyDescent="0.3">
      <c r="A101" s="1" t="str">
        <f>IF(CopyTbl[[#This Row],[File Name]]="","",CopyTbl[[#This Row],[Source Path]]&amp;"\"&amp;CopyTbl[[#This Row],[File Name]]&amp;CopyTbl[[#This Row],[Extend]])</f>
        <v/>
      </c>
      <c r="B10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1" s="29" t="str">
        <f>IF(CopyTbl[[#This Row],[File Name]]="","",Rename!$B$3)</f>
        <v/>
      </c>
      <c r="D101" s="19" t="str">
        <f t="shared" si="1"/>
        <v/>
      </c>
      <c r="E101" s="17" t="str">
        <f>IF(CopyTbl[[#This Row],[File Name]]="","",LEFT(CopyTbl[[#This Row],[File Name]],6))</f>
        <v/>
      </c>
      <c r="F101" s="1" t="str">
        <f>IFERROR(IF(FilesTbl[[#This Row],[Old Name]]="","",FilesTbl[[#This Row],[Old Name]]),"")</f>
        <v/>
      </c>
      <c r="G101" s="18" t="str">
        <f>IFERROR(IF(FilesTbl[[#This Row],[Extension]]="","",FilesTbl[[#This Row],[Extension]]),"")</f>
        <v/>
      </c>
      <c r="H101" t="str">
        <f>IFERROR(VLOOKUP(LEFT(CopyTbl[[#This Row],[File Name]],6),MS_Data_TBL[],2,FALSE),"")</f>
        <v/>
      </c>
    </row>
    <row r="102" spans="1:8" ht="45" customHeight="1" x14ac:dyDescent="0.3">
      <c r="A102" s="1" t="str">
        <f>IF(CopyTbl[[#This Row],[File Name]]="","",CopyTbl[[#This Row],[Source Path]]&amp;"\"&amp;CopyTbl[[#This Row],[File Name]]&amp;CopyTbl[[#This Row],[Extend]])</f>
        <v/>
      </c>
      <c r="B10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2" s="29" t="str">
        <f>IF(CopyTbl[[#This Row],[File Name]]="","",Rename!$B$3)</f>
        <v/>
      </c>
      <c r="D102" s="19" t="str">
        <f t="shared" si="1"/>
        <v/>
      </c>
      <c r="E102" s="17" t="str">
        <f>IF(CopyTbl[[#This Row],[File Name]]="","",LEFT(CopyTbl[[#This Row],[File Name]],6))</f>
        <v/>
      </c>
      <c r="F102" s="1" t="str">
        <f>IFERROR(IF(FilesTbl[[#This Row],[Old Name]]="","",FilesTbl[[#This Row],[Old Name]]),"")</f>
        <v/>
      </c>
      <c r="G102" s="18" t="str">
        <f>IFERROR(IF(FilesTbl[[#This Row],[Extension]]="","",FilesTbl[[#This Row],[Extension]]),"")</f>
        <v/>
      </c>
      <c r="H102" t="str">
        <f>IFERROR(VLOOKUP(LEFT(CopyTbl[[#This Row],[File Name]],6),MS_Data_TBL[],2,FALSE),"")</f>
        <v/>
      </c>
    </row>
    <row r="103" spans="1:8" ht="45" customHeight="1" x14ac:dyDescent="0.3">
      <c r="A103" s="1" t="str">
        <f>IF(CopyTbl[[#This Row],[File Name]]="","",CopyTbl[[#This Row],[Source Path]]&amp;"\"&amp;CopyTbl[[#This Row],[File Name]]&amp;CopyTbl[[#This Row],[Extend]])</f>
        <v/>
      </c>
      <c r="B10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3" s="29" t="str">
        <f>IF(CopyTbl[[#This Row],[File Name]]="","",Rename!$B$3)</f>
        <v/>
      </c>
      <c r="D103" s="19" t="str">
        <f t="shared" si="1"/>
        <v/>
      </c>
      <c r="E103" s="17" t="str">
        <f>IF(CopyTbl[[#This Row],[File Name]]="","",LEFT(CopyTbl[[#This Row],[File Name]],6))</f>
        <v/>
      </c>
      <c r="F103" s="1" t="str">
        <f>IFERROR(IF(FilesTbl[[#This Row],[Old Name]]="","",FilesTbl[[#This Row],[Old Name]]),"")</f>
        <v/>
      </c>
      <c r="G103" s="18" t="str">
        <f>IFERROR(IF(FilesTbl[[#This Row],[Extension]]="","",FilesTbl[[#This Row],[Extension]]),"")</f>
        <v/>
      </c>
      <c r="H103" t="str">
        <f>IFERROR(VLOOKUP(LEFT(CopyTbl[[#This Row],[File Name]],6),MS_Data_TBL[],2,FALSE),"")</f>
        <v/>
      </c>
    </row>
    <row r="104" spans="1:8" ht="45" customHeight="1" x14ac:dyDescent="0.3">
      <c r="A104" s="1" t="str">
        <f>IF(CopyTbl[[#This Row],[File Name]]="","",CopyTbl[[#This Row],[Source Path]]&amp;"\"&amp;CopyTbl[[#This Row],[File Name]]&amp;CopyTbl[[#This Row],[Extend]])</f>
        <v/>
      </c>
      <c r="B10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4" s="29" t="str">
        <f>IF(CopyTbl[[#This Row],[File Name]]="","",Rename!$B$3)</f>
        <v/>
      </c>
      <c r="D104" s="19" t="str">
        <f t="shared" si="1"/>
        <v/>
      </c>
      <c r="E104" s="17" t="str">
        <f>IF(CopyTbl[[#This Row],[File Name]]="","",LEFT(CopyTbl[[#This Row],[File Name]],6))</f>
        <v/>
      </c>
      <c r="F104" s="1" t="str">
        <f>IFERROR(IF(FilesTbl[[#This Row],[Old Name]]="","",FilesTbl[[#This Row],[Old Name]]),"")</f>
        <v/>
      </c>
      <c r="G104" s="18" t="str">
        <f>IFERROR(IF(FilesTbl[[#This Row],[Extension]]="","",FilesTbl[[#This Row],[Extension]]),"")</f>
        <v/>
      </c>
      <c r="H104" t="str">
        <f>IFERROR(VLOOKUP(LEFT(CopyTbl[[#This Row],[File Name]],6),MS_Data_TBL[],2,FALSE),"")</f>
        <v/>
      </c>
    </row>
    <row r="105" spans="1:8" ht="45" customHeight="1" x14ac:dyDescent="0.3">
      <c r="A105" s="1" t="str">
        <f>IF(CopyTbl[[#This Row],[File Name]]="","",CopyTbl[[#This Row],[Source Path]]&amp;"\"&amp;CopyTbl[[#This Row],[File Name]]&amp;CopyTbl[[#This Row],[Extend]])</f>
        <v/>
      </c>
      <c r="B10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5" s="29" t="str">
        <f>IF(CopyTbl[[#This Row],[File Name]]="","",Rename!$B$3)</f>
        <v/>
      </c>
      <c r="D105" s="19" t="str">
        <f t="shared" si="1"/>
        <v/>
      </c>
      <c r="E105" s="17" t="str">
        <f>IF(CopyTbl[[#This Row],[File Name]]="","",LEFT(CopyTbl[[#This Row],[File Name]],6))</f>
        <v/>
      </c>
      <c r="F105" s="1" t="str">
        <f>IFERROR(IF(FilesTbl[[#This Row],[Old Name]]="","",FilesTbl[[#This Row],[Old Name]]),"")</f>
        <v/>
      </c>
      <c r="G105" s="18" t="str">
        <f>IFERROR(IF(FilesTbl[[#This Row],[Extension]]="","",FilesTbl[[#This Row],[Extension]]),"")</f>
        <v/>
      </c>
      <c r="H105" t="str">
        <f>IFERROR(VLOOKUP(LEFT(CopyTbl[[#This Row],[File Name]],6),MS_Data_TBL[],2,FALSE),"")</f>
        <v/>
      </c>
    </row>
    <row r="106" spans="1:8" ht="45" customHeight="1" x14ac:dyDescent="0.3">
      <c r="A106" s="1" t="str">
        <f>IF(CopyTbl[[#This Row],[File Name]]="","",CopyTbl[[#This Row],[Source Path]]&amp;"\"&amp;CopyTbl[[#This Row],[File Name]]&amp;CopyTbl[[#This Row],[Extend]])</f>
        <v/>
      </c>
      <c r="B10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6" s="29" t="str">
        <f>IF(CopyTbl[[#This Row],[File Name]]="","",Rename!$B$3)</f>
        <v/>
      </c>
      <c r="D106" s="19" t="str">
        <f t="shared" si="1"/>
        <v/>
      </c>
      <c r="E106" s="17" t="str">
        <f>IF(CopyTbl[[#This Row],[File Name]]="","",LEFT(CopyTbl[[#This Row],[File Name]],6))</f>
        <v/>
      </c>
      <c r="F106" s="1" t="str">
        <f>IFERROR(IF(FilesTbl[[#This Row],[Old Name]]="","",FilesTbl[[#This Row],[Old Name]]),"")</f>
        <v/>
      </c>
      <c r="G106" s="18" t="str">
        <f>IFERROR(IF(FilesTbl[[#This Row],[Extension]]="","",FilesTbl[[#This Row],[Extension]]),"")</f>
        <v/>
      </c>
      <c r="H106" t="str">
        <f>IFERROR(VLOOKUP(LEFT(CopyTbl[[#This Row],[File Name]],6),MS_Data_TBL[],2,FALSE),"")</f>
        <v/>
      </c>
    </row>
    <row r="107" spans="1:8" ht="45" customHeight="1" x14ac:dyDescent="0.3">
      <c r="A107" s="1" t="str">
        <f>IF(CopyTbl[[#This Row],[File Name]]="","",CopyTbl[[#This Row],[Source Path]]&amp;"\"&amp;CopyTbl[[#This Row],[File Name]]&amp;CopyTbl[[#This Row],[Extend]])</f>
        <v/>
      </c>
      <c r="B10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7" s="29" t="str">
        <f>IF(CopyTbl[[#This Row],[File Name]]="","",Rename!$B$3)</f>
        <v/>
      </c>
      <c r="D107" s="19" t="str">
        <f t="shared" si="1"/>
        <v/>
      </c>
      <c r="E107" s="17" t="str">
        <f>IF(CopyTbl[[#This Row],[File Name]]="","",LEFT(CopyTbl[[#This Row],[File Name]],6))</f>
        <v/>
      </c>
      <c r="F107" s="1" t="str">
        <f>IFERROR(IF(FilesTbl[[#This Row],[Old Name]]="","",FilesTbl[[#This Row],[Old Name]]),"")</f>
        <v/>
      </c>
      <c r="G107" s="18" t="str">
        <f>IFERROR(IF(FilesTbl[[#This Row],[Extension]]="","",FilesTbl[[#This Row],[Extension]]),"")</f>
        <v/>
      </c>
      <c r="H107" t="str">
        <f>IFERROR(VLOOKUP(LEFT(CopyTbl[[#This Row],[File Name]],6),MS_Data_TBL[],2,FALSE),"")</f>
        <v/>
      </c>
    </row>
    <row r="108" spans="1:8" ht="45" customHeight="1" x14ac:dyDescent="0.3">
      <c r="A108" s="1" t="str">
        <f>IF(CopyTbl[[#This Row],[File Name]]="","",CopyTbl[[#This Row],[Source Path]]&amp;"\"&amp;CopyTbl[[#This Row],[File Name]]&amp;CopyTbl[[#This Row],[Extend]])</f>
        <v/>
      </c>
      <c r="B10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8" s="29" t="str">
        <f>IF(CopyTbl[[#This Row],[File Name]]="","",Rename!$B$3)</f>
        <v/>
      </c>
      <c r="D108" s="19" t="str">
        <f t="shared" si="1"/>
        <v/>
      </c>
      <c r="E108" s="17" t="str">
        <f>IF(CopyTbl[[#This Row],[File Name]]="","",LEFT(CopyTbl[[#This Row],[File Name]],6))</f>
        <v/>
      </c>
      <c r="F108" s="1" t="str">
        <f>IFERROR(IF(FilesTbl[[#This Row],[Old Name]]="","",FilesTbl[[#This Row],[Old Name]]),"")</f>
        <v/>
      </c>
      <c r="G108" s="18" t="str">
        <f>IFERROR(IF(FilesTbl[[#This Row],[Extension]]="","",FilesTbl[[#This Row],[Extension]]),"")</f>
        <v/>
      </c>
      <c r="H108" t="str">
        <f>IFERROR(VLOOKUP(LEFT(CopyTbl[[#This Row],[File Name]],6),MS_Data_TBL[],2,FALSE),"")</f>
        <v/>
      </c>
    </row>
    <row r="109" spans="1:8" ht="45" customHeight="1" x14ac:dyDescent="0.3">
      <c r="A109" s="1" t="str">
        <f>IF(CopyTbl[[#This Row],[File Name]]="","",CopyTbl[[#This Row],[Source Path]]&amp;"\"&amp;CopyTbl[[#This Row],[File Name]]&amp;CopyTbl[[#This Row],[Extend]])</f>
        <v/>
      </c>
      <c r="B10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09" s="29" t="str">
        <f>IF(CopyTbl[[#This Row],[File Name]]="","",Rename!$B$3)</f>
        <v/>
      </c>
      <c r="D109" s="19" t="str">
        <f t="shared" si="1"/>
        <v/>
      </c>
      <c r="E109" s="17" t="str">
        <f>IF(CopyTbl[[#This Row],[File Name]]="","",LEFT(CopyTbl[[#This Row],[File Name]],6))</f>
        <v/>
      </c>
      <c r="F109" s="1" t="str">
        <f>IFERROR(IF(FilesTbl[[#This Row],[Old Name]]="","",FilesTbl[[#This Row],[Old Name]]),"")</f>
        <v/>
      </c>
      <c r="G109" s="18" t="str">
        <f>IFERROR(IF(FilesTbl[[#This Row],[Extension]]="","",FilesTbl[[#This Row],[Extension]]),"")</f>
        <v/>
      </c>
      <c r="H109" t="str">
        <f>IFERROR(VLOOKUP(LEFT(CopyTbl[[#This Row],[File Name]],6),MS_Data_TBL[],2,FALSE),"")</f>
        <v/>
      </c>
    </row>
    <row r="110" spans="1:8" ht="45" customHeight="1" x14ac:dyDescent="0.3">
      <c r="A110" s="1" t="str">
        <f>IF(CopyTbl[[#This Row],[File Name]]="","",CopyTbl[[#This Row],[Source Path]]&amp;"\"&amp;CopyTbl[[#This Row],[File Name]]&amp;CopyTbl[[#This Row],[Extend]])</f>
        <v/>
      </c>
      <c r="B11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0" s="29" t="str">
        <f>IF(CopyTbl[[#This Row],[File Name]]="","",Rename!$B$3)</f>
        <v/>
      </c>
      <c r="D110" s="19" t="str">
        <f t="shared" si="1"/>
        <v/>
      </c>
      <c r="E110" s="17" t="str">
        <f>IF(CopyTbl[[#This Row],[File Name]]="","",LEFT(CopyTbl[[#This Row],[File Name]],6))</f>
        <v/>
      </c>
      <c r="F110" s="1" t="str">
        <f>IFERROR(IF(FilesTbl[[#This Row],[Old Name]]="","",FilesTbl[[#This Row],[Old Name]]),"")</f>
        <v/>
      </c>
      <c r="G110" s="18" t="str">
        <f>IFERROR(IF(FilesTbl[[#This Row],[Extension]]="","",FilesTbl[[#This Row],[Extension]]),"")</f>
        <v/>
      </c>
      <c r="H110" t="str">
        <f>IFERROR(VLOOKUP(LEFT(CopyTbl[[#This Row],[File Name]],6),MS_Data_TBL[],2,FALSE),"")</f>
        <v/>
      </c>
    </row>
    <row r="111" spans="1:8" ht="45" customHeight="1" x14ac:dyDescent="0.3">
      <c r="A111" s="1" t="str">
        <f>IF(CopyTbl[[#This Row],[File Name]]="","",CopyTbl[[#This Row],[Source Path]]&amp;"\"&amp;CopyTbl[[#This Row],[File Name]]&amp;CopyTbl[[#This Row],[Extend]])</f>
        <v/>
      </c>
      <c r="B11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1" s="29" t="str">
        <f>IF(CopyTbl[[#This Row],[File Name]]="","",Rename!$B$3)</f>
        <v/>
      </c>
      <c r="D111" s="19" t="str">
        <f t="shared" si="1"/>
        <v/>
      </c>
      <c r="E111" s="17" t="str">
        <f>IF(CopyTbl[[#This Row],[File Name]]="","",LEFT(CopyTbl[[#This Row],[File Name]],6))</f>
        <v/>
      </c>
      <c r="F111" s="1" t="str">
        <f>IFERROR(IF(FilesTbl[[#This Row],[Old Name]]="","",FilesTbl[[#This Row],[Old Name]]),"")</f>
        <v/>
      </c>
      <c r="G111" s="18" t="str">
        <f>IFERROR(IF(FilesTbl[[#This Row],[Extension]]="","",FilesTbl[[#This Row],[Extension]]),"")</f>
        <v/>
      </c>
      <c r="H111" t="str">
        <f>IFERROR(VLOOKUP(LEFT(CopyTbl[[#This Row],[File Name]],6),MS_Data_TBL[],2,FALSE),"")</f>
        <v/>
      </c>
    </row>
    <row r="112" spans="1:8" ht="45" customHeight="1" x14ac:dyDescent="0.3">
      <c r="A112" s="1" t="str">
        <f>IF(CopyTbl[[#This Row],[File Name]]="","",CopyTbl[[#This Row],[Source Path]]&amp;"\"&amp;CopyTbl[[#This Row],[File Name]]&amp;CopyTbl[[#This Row],[Extend]])</f>
        <v/>
      </c>
      <c r="B11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2" s="29" t="str">
        <f>IF(CopyTbl[[#This Row],[File Name]]="","",Rename!$B$3)</f>
        <v/>
      </c>
      <c r="D112" s="19" t="str">
        <f t="shared" si="1"/>
        <v/>
      </c>
      <c r="E112" s="17" t="str">
        <f>IF(CopyTbl[[#This Row],[File Name]]="","",LEFT(CopyTbl[[#This Row],[File Name]],6))</f>
        <v/>
      </c>
      <c r="F112" s="1" t="str">
        <f>IFERROR(IF(FilesTbl[[#This Row],[Old Name]]="","",FilesTbl[[#This Row],[Old Name]]),"")</f>
        <v/>
      </c>
      <c r="G112" s="18" t="str">
        <f>IFERROR(IF(FilesTbl[[#This Row],[Extension]]="","",FilesTbl[[#This Row],[Extension]]),"")</f>
        <v/>
      </c>
      <c r="H112" t="str">
        <f>IFERROR(VLOOKUP(LEFT(CopyTbl[[#This Row],[File Name]],6),MS_Data_TBL[],2,FALSE),"")</f>
        <v/>
      </c>
    </row>
    <row r="113" spans="1:8" ht="45" customHeight="1" x14ac:dyDescent="0.3">
      <c r="A113" s="1" t="str">
        <f>IF(CopyTbl[[#This Row],[File Name]]="","",CopyTbl[[#This Row],[Source Path]]&amp;"\"&amp;CopyTbl[[#This Row],[File Name]]&amp;CopyTbl[[#This Row],[Extend]])</f>
        <v/>
      </c>
      <c r="B11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3" s="29" t="str">
        <f>IF(CopyTbl[[#This Row],[File Name]]="","",Rename!$B$3)</f>
        <v/>
      </c>
      <c r="D113" s="19" t="str">
        <f t="shared" si="1"/>
        <v/>
      </c>
      <c r="E113" s="17" t="str">
        <f>IF(CopyTbl[[#This Row],[File Name]]="","",LEFT(CopyTbl[[#This Row],[File Name]],6))</f>
        <v/>
      </c>
      <c r="F113" s="1" t="str">
        <f>IFERROR(IF(FilesTbl[[#This Row],[Old Name]]="","",FilesTbl[[#This Row],[Old Name]]),"")</f>
        <v/>
      </c>
      <c r="G113" s="18" t="str">
        <f>IFERROR(IF(FilesTbl[[#This Row],[Extension]]="","",FilesTbl[[#This Row],[Extension]]),"")</f>
        <v/>
      </c>
      <c r="H113" t="str">
        <f>IFERROR(VLOOKUP(LEFT(CopyTbl[[#This Row],[File Name]],6),MS_Data_TBL[],2,FALSE),"")</f>
        <v/>
      </c>
    </row>
    <row r="114" spans="1:8" ht="45" customHeight="1" x14ac:dyDescent="0.3">
      <c r="A114" s="1" t="str">
        <f>IF(CopyTbl[[#This Row],[File Name]]="","",CopyTbl[[#This Row],[Source Path]]&amp;"\"&amp;CopyTbl[[#This Row],[File Name]]&amp;CopyTbl[[#This Row],[Extend]])</f>
        <v/>
      </c>
      <c r="B11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4" s="29" t="str">
        <f>IF(CopyTbl[[#This Row],[File Name]]="","",Rename!$B$3)</f>
        <v/>
      </c>
      <c r="D114" s="19" t="str">
        <f t="shared" si="1"/>
        <v/>
      </c>
      <c r="E114" s="17" t="str">
        <f>IF(CopyTbl[[#This Row],[File Name]]="","",LEFT(CopyTbl[[#This Row],[File Name]],6))</f>
        <v/>
      </c>
      <c r="F114" s="1" t="str">
        <f>IFERROR(IF(FilesTbl[[#This Row],[Old Name]]="","",FilesTbl[[#This Row],[Old Name]]),"")</f>
        <v/>
      </c>
      <c r="G114" s="18" t="str">
        <f>IFERROR(IF(FilesTbl[[#This Row],[Extension]]="","",FilesTbl[[#This Row],[Extension]]),"")</f>
        <v/>
      </c>
      <c r="H114" t="str">
        <f>IFERROR(VLOOKUP(LEFT(CopyTbl[[#This Row],[File Name]],6),MS_Data_TBL[],2,FALSE),"")</f>
        <v/>
      </c>
    </row>
    <row r="115" spans="1:8" ht="45" customHeight="1" x14ac:dyDescent="0.3">
      <c r="A115" s="1" t="str">
        <f>IF(CopyTbl[[#This Row],[File Name]]="","",CopyTbl[[#This Row],[Source Path]]&amp;"\"&amp;CopyTbl[[#This Row],[File Name]]&amp;CopyTbl[[#This Row],[Extend]])</f>
        <v/>
      </c>
      <c r="B11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5" s="29" t="str">
        <f>IF(CopyTbl[[#This Row],[File Name]]="","",Rename!$B$3)</f>
        <v/>
      </c>
      <c r="D115" s="19" t="str">
        <f t="shared" si="1"/>
        <v/>
      </c>
      <c r="E115" s="17" t="str">
        <f>IF(CopyTbl[[#This Row],[File Name]]="","",LEFT(CopyTbl[[#This Row],[File Name]],6))</f>
        <v/>
      </c>
      <c r="F115" s="1" t="str">
        <f>IFERROR(IF(FilesTbl[[#This Row],[Old Name]]="","",FilesTbl[[#This Row],[Old Name]]),"")</f>
        <v/>
      </c>
      <c r="G115" s="18" t="str">
        <f>IFERROR(IF(FilesTbl[[#This Row],[Extension]]="","",FilesTbl[[#This Row],[Extension]]),"")</f>
        <v/>
      </c>
      <c r="H115" t="str">
        <f>IFERROR(VLOOKUP(LEFT(CopyTbl[[#This Row],[File Name]],6),MS_Data_TBL[],2,FALSE),"")</f>
        <v/>
      </c>
    </row>
    <row r="116" spans="1:8" ht="45" customHeight="1" x14ac:dyDescent="0.3">
      <c r="A116" s="1" t="str">
        <f>IF(CopyTbl[[#This Row],[File Name]]="","",CopyTbl[[#This Row],[Source Path]]&amp;"\"&amp;CopyTbl[[#This Row],[File Name]]&amp;CopyTbl[[#This Row],[Extend]])</f>
        <v/>
      </c>
      <c r="B11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6" s="29" t="str">
        <f>IF(CopyTbl[[#This Row],[File Name]]="","",Rename!$B$3)</f>
        <v/>
      </c>
      <c r="D116" s="19" t="str">
        <f t="shared" si="1"/>
        <v/>
      </c>
      <c r="E116" s="17" t="str">
        <f>IF(CopyTbl[[#This Row],[File Name]]="","",LEFT(CopyTbl[[#This Row],[File Name]],6))</f>
        <v/>
      </c>
      <c r="F116" s="1" t="str">
        <f>IFERROR(IF(FilesTbl[[#This Row],[Old Name]]="","",FilesTbl[[#This Row],[Old Name]]),"")</f>
        <v/>
      </c>
      <c r="G116" s="18" t="str">
        <f>IFERROR(IF(FilesTbl[[#This Row],[Extension]]="","",FilesTbl[[#This Row],[Extension]]),"")</f>
        <v/>
      </c>
      <c r="H116" t="str">
        <f>IFERROR(VLOOKUP(LEFT(CopyTbl[[#This Row],[File Name]],6),MS_Data_TBL[],2,FALSE),"")</f>
        <v/>
      </c>
    </row>
    <row r="117" spans="1:8" ht="45" customHeight="1" x14ac:dyDescent="0.3">
      <c r="A117" s="1" t="str">
        <f>IF(CopyTbl[[#This Row],[File Name]]="","",CopyTbl[[#This Row],[Source Path]]&amp;"\"&amp;CopyTbl[[#This Row],[File Name]]&amp;CopyTbl[[#This Row],[Extend]])</f>
        <v/>
      </c>
      <c r="B11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7" s="29" t="str">
        <f>IF(CopyTbl[[#This Row],[File Name]]="","",Rename!$B$3)</f>
        <v/>
      </c>
      <c r="D117" s="19" t="str">
        <f t="shared" si="1"/>
        <v/>
      </c>
      <c r="E117" s="17" t="str">
        <f>IF(CopyTbl[[#This Row],[File Name]]="","",LEFT(CopyTbl[[#This Row],[File Name]],6))</f>
        <v/>
      </c>
      <c r="F117" s="1" t="str">
        <f>IFERROR(IF(FilesTbl[[#This Row],[Old Name]]="","",FilesTbl[[#This Row],[Old Name]]),"")</f>
        <v/>
      </c>
      <c r="G117" s="18" t="str">
        <f>IFERROR(IF(FilesTbl[[#This Row],[Extension]]="","",FilesTbl[[#This Row],[Extension]]),"")</f>
        <v/>
      </c>
      <c r="H117" t="str">
        <f>IFERROR(VLOOKUP(LEFT(CopyTbl[[#This Row],[File Name]],6),MS_Data_TBL[],2,FALSE),"")</f>
        <v/>
      </c>
    </row>
    <row r="118" spans="1:8" ht="45" customHeight="1" x14ac:dyDescent="0.3">
      <c r="A118" s="1" t="str">
        <f>IF(CopyTbl[[#This Row],[File Name]]="","",CopyTbl[[#This Row],[Source Path]]&amp;"\"&amp;CopyTbl[[#This Row],[File Name]]&amp;CopyTbl[[#This Row],[Extend]])</f>
        <v/>
      </c>
      <c r="B11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8" s="29" t="str">
        <f>IF(CopyTbl[[#This Row],[File Name]]="","",Rename!$B$3)</f>
        <v/>
      </c>
      <c r="D118" s="19" t="str">
        <f t="shared" si="1"/>
        <v/>
      </c>
      <c r="E118" s="17" t="str">
        <f>IF(CopyTbl[[#This Row],[File Name]]="","",LEFT(CopyTbl[[#This Row],[File Name]],6))</f>
        <v/>
      </c>
      <c r="F118" s="1" t="str">
        <f>IFERROR(IF(FilesTbl[[#This Row],[Old Name]]="","",FilesTbl[[#This Row],[Old Name]]),"")</f>
        <v/>
      </c>
      <c r="G118" s="18" t="str">
        <f>IFERROR(IF(FilesTbl[[#This Row],[Extension]]="","",FilesTbl[[#This Row],[Extension]]),"")</f>
        <v/>
      </c>
      <c r="H118" t="str">
        <f>IFERROR(VLOOKUP(LEFT(CopyTbl[[#This Row],[File Name]],6),MS_Data_TBL[],2,FALSE),"")</f>
        <v/>
      </c>
    </row>
    <row r="119" spans="1:8" ht="45" customHeight="1" x14ac:dyDescent="0.3">
      <c r="A119" s="1" t="str">
        <f>IF(CopyTbl[[#This Row],[File Name]]="","",CopyTbl[[#This Row],[Source Path]]&amp;"\"&amp;CopyTbl[[#This Row],[File Name]]&amp;CopyTbl[[#This Row],[Extend]])</f>
        <v/>
      </c>
      <c r="B11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19" s="29" t="str">
        <f>IF(CopyTbl[[#This Row],[File Name]]="","",Rename!$B$3)</f>
        <v/>
      </c>
      <c r="D119" s="19" t="str">
        <f t="shared" si="1"/>
        <v/>
      </c>
      <c r="E119" s="17" t="str">
        <f>IF(CopyTbl[[#This Row],[File Name]]="","",LEFT(CopyTbl[[#This Row],[File Name]],6))</f>
        <v/>
      </c>
      <c r="F119" s="1" t="str">
        <f>IFERROR(IF(FilesTbl[[#This Row],[Old Name]]="","",FilesTbl[[#This Row],[Old Name]]),"")</f>
        <v/>
      </c>
      <c r="G119" s="18" t="str">
        <f>IFERROR(IF(FilesTbl[[#This Row],[Extension]]="","",FilesTbl[[#This Row],[Extension]]),"")</f>
        <v/>
      </c>
      <c r="H119" t="str">
        <f>IFERROR(VLOOKUP(LEFT(CopyTbl[[#This Row],[File Name]],6),MS_Data_TBL[],2,FALSE),"")</f>
        <v/>
      </c>
    </row>
    <row r="120" spans="1:8" ht="45" customHeight="1" x14ac:dyDescent="0.3">
      <c r="A120" s="1" t="str">
        <f>IF(CopyTbl[[#This Row],[File Name]]="","",CopyTbl[[#This Row],[Source Path]]&amp;"\"&amp;CopyTbl[[#This Row],[File Name]]&amp;CopyTbl[[#This Row],[Extend]])</f>
        <v/>
      </c>
      <c r="B12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0" s="29" t="str">
        <f>IF(CopyTbl[[#This Row],[File Name]]="","",Rename!$B$3)</f>
        <v/>
      </c>
      <c r="D120" s="19" t="str">
        <f t="shared" si="1"/>
        <v/>
      </c>
      <c r="E120" s="17" t="str">
        <f>IF(CopyTbl[[#This Row],[File Name]]="","",LEFT(CopyTbl[[#This Row],[File Name]],6))</f>
        <v/>
      </c>
      <c r="F120" s="1" t="str">
        <f>IFERROR(IF(FilesTbl[[#This Row],[Old Name]]="","",FilesTbl[[#This Row],[Old Name]]),"")</f>
        <v/>
      </c>
      <c r="G120" s="18" t="str">
        <f>IFERROR(IF(FilesTbl[[#This Row],[Extension]]="","",FilesTbl[[#This Row],[Extension]]),"")</f>
        <v/>
      </c>
      <c r="H120" t="str">
        <f>IFERROR(VLOOKUP(LEFT(CopyTbl[[#This Row],[File Name]],6),MS_Data_TBL[],2,FALSE),"")</f>
        <v/>
      </c>
    </row>
    <row r="121" spans="1:8" ht="45" customHeight="1" x14ac:dyDescent="0.3">
      <c r="A121" s="1" t="str">
        <f>IF(CopyTbl[[#This Row],[File Name]]="","",CopyTbl[[#This Row],[Source Path]]&amp;"\"&amp;CopyTbl[[#This Row],[File Name]]&amp;CopyTbl[[#This Row],[Extend]])</f>
        <v/>
      </c>
      <c r="B12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1" s="29" t="str">
        <f>IF(CopyTbl[[#This Row],[File Name]]="","",Rename!$B$3)</f>
        <v/>
      </c>
      <c r="D121" s="19" t="str">
        <f t="shared" si="1"/>
        <v/>
      </c>
      <c r="E121" s="17" t="str">
        <f>IF(CopyTbl[[#This Row],[File Name]]="","",LEFT(CopyTbl[[#This Row],[File Name]],6))</f>
        <v/>
      </c>
      <c r="F121" s="1" t="str">
        <f>IFERROR(IF(FilesTbl[[#This Row],[Old Name]]="","",FilesTbl[[#This Row],[Old Name]]),"")</f>
        <v/>
      </c>
      <c r="G121" s="18" t="str">
        <f>IFERROR(IF(FilesTbl[[#This Row],[Extension]]="","",FilesTbl[[#This Row],[Extension]]),"")</f>
        <v/>
      </c>
      <c r="H121" t="str">
        <f>IFERROR(VLOOKUP(LEFT(CopyTbl[[#This Row],[File Name]],6),MS_Data_TBL[],2,FALSE),"")</f>
        <v/>
      </c>
    </row>
    <row r="122" spans="1:8" ht="45" customHeight="1" x14ac:dyDescent="0.3">
      <c r="A122" s="1" t="str">
        <f>IF(CopyTbl[[#This Row],[File Name]]="","",CopyTbl[[#This Row],[Source Path]]&amp;"\"&amp;CopyTbl[[#This Row],[File Name]]&amp;CopyTbl[[#This Row],[Extend]])</f>
        <v/>
      </c>
      <c r="B12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2" s="29" t="str">
        <f>IF(CopyTbl[[#This Row],[File Name]]="","",Rename!$B$3)</f>
        <v/>
      </c>
      <c r="D122" s="19" t="str">
        <f t="shared" si="1"/>
        <v/>
      </c>
      <c r="E122" s="17" t="str">
        <f>IF(CopyTbl[[#This Row],[File Name]]="","",LEFT(CopyTbl[[#This Row],[File Name]],6))</f>
        <v/>
      </c>
      <c r="F122" s="1" t="str">
        <f>IFERROR(IF(FilesTbl[[#This Row],[Old Name]]="","",FilesTbl[[#This Row],[Old Name]]),"")</f>
        <v/>
      </c>
      <c r="G122" s="18" t="str">
        <f>IFERROR(IF(FilesTbl[[#This Row],[Extension]]="","",FilesTbl[[#This Row],[Extension]]),"")</f>
        <v/>
      </c>
      <c r="H122" t="str">
        <f>IFERROR(VLOOKUP(LEFT(CopyTbl[[#This Row],[File Name]],6),MS_Data_TBL[],2,FALSE),"")</f>
        <v/>
      </c>
    </row>
    <row r="123" spans="1:8" ht="45" customHeight="1" x14ac:dyDescent="0.3">
      <c r="A123" s="1" t="str">
        <f>IF(CopyTbl[[#This Row],[File Name]]="","",CopyTbl[[#This Row],[Source Path]]&amp;"\"&amp;CopyTbl[[#This Row],[File Name]]&amp;CopyTbl[[#This Row],[Extend]])</f>
        <v/>
      </c>
      <c r="B12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3" s="29" t="str">
        <f>IF(CopyTbl[[#This Row],[File Name]]="","",Rename!$B$3)</f>
        <v/>
      </c>
      <c r="D123" s="19" t="str">
        <f t="shared" si="1"/>
        <v/>
      </c>
      <c r="E123" s="17" t="str">
        <f>IF(CopyTbl[[#This Row],[File Name]]="","",LEFT(CopyTbl[[#This Row],[File Name]],6))</f>
        <v/>
      </c>
      <c r="F123" s="1" t="str">
        <f>IFERROR(IF(FilesTbl[[#This Row],[Old Name]]="","",FilesTbl[[#This Row],[Old Name]]),"")</f>
        <v/>
      </c>
      <c r="G123" s="18" t="str">
        <f>IFERROR(IF(FilesTbl[[#This Row],[Extension]]="","",FilesTbl[[#This Row],[Extension]]),"")</f>
        <v/>
      </c>
      <c r="H123" t="str">
        <f>IFERROR(VLOOKUP(LEFT(CopyTbl[[#This Row],[File Name]],6),MS_Data_TBL[],2,FALSE),"")</f>
        <v/>
      </c>
    </row>
    <row r="124" spans="1:8" ht="45" customHeight="1" x14ac:dyDescent="0.3">
      <c r="A124" s="1" t="str">
        <f>IF(CopyTbl[[#This Row],[File Name]]="","",CopyTbl[[#This Row],[Source Path]]&amp;"\"&amp;CopyTbl[[#This Row],[File Name]]&amp;CopyTbl[[#This Row],[Extend]])</f>
        <v/>
      </c>
      <c r="B12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4" s="29" t="str">
        <f>IF(CopyTbl[[#This Row],[File Name]]="","",Rename!$B$3)</f>
        <v/>
      </c>
      <c r="D124" s="19" t="str">
        <f t="shared" si="1"/>
        <v/>
      </c>
      <c r="E124" s="17" t="str">
        <f>IF(CopyTbl[[#This Row],[File Name]]="","",LEFT(CopyTbl[[#This Row],[File Name]],6))</f>
        <v/>
      </c>
      <c r="F124" s="1" t="str">
        <f>IFERROR(IF(FilesTbl[[#This Row],[Old Name]]="","",FilesTbl[[#This Row],[Old Name]]),"")</f>
        <v/>
      </c>
      <c r="G124" s="18" t="str">
        <f>IFERROR(IF(FilesTbl[[#This Row],[Extension]]="","",FilesTbl[[#This Row],[Extension]]),"")</f>
        <v/>
      </c>
      <c r="H124" t="str">
        <f>IFERROR(VLOOKUP(LEFT(CopyTbl[[#This Row],[File Name]],6),MS_Data_TBL[],2,FALSE),"")</f>
        <v/>
      </c>
    </row>
    <row r="125" spans="1:8" ht="45" customHeight="1" x14ac:dyDescent="0.3">
      <c r="A125" s="1" t="str">
        <f>IF(CopyTbl[[#This Row],[File Name]]="","",CopyTbl[[#This Row],[Source Path]]&amp;"\"&amp;CopyTbl[[#This Row],[File Name]]&amp;CopyTbl[[#This Row],[Extend]])</f>
        <v/>
      </c>
      <c r="B12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5" s="29" t="str">
        <f>IF(CopyTbl[[#This Row],[File Name]]="","",Rename!$B$3)</f>
        <v/>
      </c>
      <c r="D125" s="19" t="str">
        <f t="shared" si="1"/>
        <v/>
      </c>
      <c r="E125" s="17" t="str">
        <f>IF(CopyTbl[[#This Row],[File Name]]="","",LEFT(CopyTbl[[#This Row],[File Name]],6))</f>
        <v/>
      </c>
      <c r="F125" s="1" t="str">
        <f>IFERROR(IF(FilesTbl[[#This Row],[Old Name]]="","",FilesTbl[[#This Row],[Old Name]]),"")</f>
        <v/>
      </c>
      <c r="G125" s="18" t="str">
        <f>IFERROR(IF(FilesTbl[[#This Row],[Extension]]="","",FilesTbl[[#This Row],[Extension]]),"")</f>
        <v/>
      </c>
      <c r="H125" t="str">
        <f>IFERROR(VLOOKUP(LEFT(CopyTbl[[#This Row],[File Name]],6),MS_Data_TBL[],2,FALSE),"")</f>
        <v/>
      </c>
    </row>
    <row r="126" spans="1:8" ht="45" customHeight="1" x14ac:dyDescent="0.3">
      <c r="A126" s="1" t="str">
        <f>IF(CopyTbl[[#This Row],[File Name]]="","",CopyTbl[[#This Row],[Source Path]]&amp;"\"&amp;CopyTbl[[#This Row],[File Name]]&amp;CopyTbl[[#This Row],[Extend]])</f>
        <v/>
      </c>
      <c r="B12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6" s="29" t="str">
        <f>IF(CopyTbl[[#This Row],[File Name]]="","",Rename!$B$3)</f>
        <v/>
      </c>
      <c r="D126" s="19" t="str">
        <f t="shared" si="1"/>
        <v/>
      </c>
      <c r="E126" s="17" t="str">
        <f>IF(CopyTbl[[#This Row],[File Name]]="","",LEFT(CopyTbl[[#This Row],[File Name]],6))</f>
        <v/>
      </c>
      <c r="F126" s="1" t="str">
        <f>IFERROR(IF(FilesTbl[[#This Row],[Old Name]]="","",FilesTbl[[#This Row],[Old Name]]),"")</f>
        <v/>
      </c>
      <c r="G126" s="18" t="str">
        <f>IFERROR(IF(FilesTbl[[#This Row],[Extension]]="","",FilesTbl[[#This Row],[Extension]]),"")</f>
        <v/>
      </c>
      <c r="H126" t="str">
        <f>IFERROR(VLOOKUP(LEFT(CopyTbl[[#This Row],[File Name]],6),MS_Data_TBL[],2,FALSE),"")</f>
        <v/>
      </c>
    </row>
    <row r="127" spans="1:8" ht="45" customHeight="1" x14ac:dyDescent="0.3">
      <c r="A127" s="1" t="str">
        <f>IF(CopyTbl[[#This Row],[File Name]]="","",CopyTbl[[#This Row],[Source Path]]&amp;"\"&amp;CopyTbl[[#This Row],[File Name]]&amp;CopyTbl[[#This Row],[Extend]])</f>
        <v/>
      </c>
      <c r="B12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7" s="29" t="str">
        <f>IF(CopyTbl[[#This Row],[File Name]]="","",Rename!$B$3)</f>
        <v/>
      </c>
      <c r="D127" s="19" t="str">
        <f t="shared" ref="D127:D160" si="2">IF(C127="","",D126)</f>
        <v/>
      </c>
      <c r="E127" s="17" t="str">
        <f>IF(CopyTbl[[#This Row],[File Name]]="","",LEFT(CopyTbl[[#This Row],[File Name]],6))</f>
        <v/>
      </c>
      <c r="F127" s="1" t="str">
        <f>IFERROR(IF(FilesTbl[[#This Row],[Old Name]]="","",FilesTbl[[#This Row],[Old Name]]),"")</f>
        <v/>
      </c>
      <c r="G127" s="18" t="str">
        <f>IFERROR(IF(FilesTbl[[#This Row],[Extension]]="","",FilesTbl[[#This Row],[Extension]]),"")</f>
        <v/>
      </c>
      <c r="H127" t="str">
        <f>IFERROR(VLOOKUP(LEFT(CopyTbl[[#This Row],[File Name]],6),MS_Data_TBL[],2,FALSE),"")</f>
        <v/>
      </c>
    </row>
    <row r="128" spans="1:8" ht="45" customHeight="1" x14ac:dyDescent="0.3">
      <c r="A128" s="1" t="str">
        <f>IF(CopyTbl[[#This Row],[File Name]]="","",CopyTbl[[#This Row],[Source Path]]&amp;"\"&amp;CopyTbl[[#This Row],[File Name]]&amp;CopyTbl[[#This Row],[Extend]])</f>
        <v/>
      </c>
      <c r="B12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8" s="29" t="str">
        <f>IF(CopyTbl[[#This Row],[File Name]]="","",Rename!$B$3)</f>
        <v/>
      </c>
      <c r="D128" s="19" t="str">
        <f t="shared" si="2"/>
        <v/>
      </c>
      <c r="E128" s="17" t="str">
        <f>IF(CopyTbl[[#This Row],[File Name]]="","",LEFT(CopyTbl[[#This Row],[File Name]],6))</f>
        <v/>
      </c>
      <c r="F128" s="1" t="str">
        <f>IFERROR(IF(FilesTbl[[#This Row],[Old Name]]="","",FilesTbl[[#This Row],[Old Name]]),"")</f>
        <v/>
      </c>
      <c r="G128" s="18" t="str">
        <f>IFERROR(IF(FilesTbl[[#This Row],[Extension]]="","",FilesTbl[[#This Row],[Extension]]),"")</f>
        <v/>
      </c>
      <c r="H128" t="str">
        <f>IFERROR(VLOOKUP(LEFT(CopyTbl[[#This Row],[File Name]],6),MS_Data_TBL[],2,FALSE),"")</f>
        <v/>
      </c>
    </row>
    <row r="129" spans="1:8" ht="45" customHeight="1" x14ac:dyDescent="0.3">
      <c r="A129" s="1" t="str">
        <f>IF(CopyTbl[[#This Row],[File Name]]="","",CopyTbl[[#This Row],[Source Path]]&amp;"\"&amp;CopyTbl[[#This Row],[File Name]]&amp;CopyTbl[[#This Row],[Extend]])</f>
        <v/>
      </c>
      <c r="B12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29" s="29" t="str">
        <f>IF(CopyTbl[[#This Row],[File Name]]="","",Rename!$B$3)</f>
        <v/>
      </c>
      <c r="D129" s="19" t="str">
        <f t="shared" si="2"/>
        <v/>
      </c>
      <c r="E129" s="17" t="str">
        <f>IF(CopyTbl[[#This Row],[File Name]]="","",LEFT(CopyTbl[[#This Row],[File Name]],6))</f>
        <v/>
      </c>
      <c r="F129" s="1" t="str">
        <f>IFERROR(IF(FilesTbl[[#This Row],[Old Name]]="","",FilesTbl[[#This Row],[Old Name]]),"")</f>
        <v/>
      </c>
      <c r="G129" s="18" t="str">
        <f>IFERROR(IF(FilesTbl[[#This Row],[Extension]]="","",FilesTbl[[#This Row],[Extension]]),"")</f>
        <v/>
      </c>
      <c r="H129" t="str">
        <f>IFERROR(VLOOKUP(LEFT(CopyTbl[[#This Row],[File Name]],6),MS_Data_TBL[],2,FALSE),"")</f>
        <v/>
      </c>
    </row>
    <row r="130" spans="1:8" ht="45" customHeight="1" x14ac:dyDescent="0.3">
      <c r="A130" s="1" t="str">
        <f>IF(CopyTbl[[#This Row],[File Name]]="","",CopyTbl[[#This Row],[Source Path]]&amp;"\"&amp;CopyTbl[[#This Row],[File Name]]&amp;CopyTbl[[#This Row],[Extend]])</f>
        <v/>
      </c>
      <c r="B13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0" s="29" t="str">
        <f>IF(CopyTbl[[#This Row],[File Name]]="","",Rename!$B$3)</f>
        <v/>
      </c>
      <c r="D130" s="19" t="str">
        <f t="shared" si="2"/>
        <v/>
      </c>
      <c r="E130" s="17" t="str">
        <f>IF(CopyTbl[[#This Row],[File Name]]="","",LEFT(CopyTbl[[#This Row],[File Name]],6))</f>
        <v/>
      </c>
      <c r="F130" s="1" t="str">
        <f>IFERROR(IF(FilesTbl[[#This Row],[Old Name]]="","",FilesTbl[[#This Row],[Old Name]]),"")</f>
        <v/>
      </c>
      <c r="G130" s="18" t="str">
        <f>IFERROR(IF(FilesTbl[[#This Row],[Extension]]="","",FilesTbl[[#This Row],[Extension]]),"")</f>
        <v/>
      </c>
      <c r="H130" t="str">
        <f>IFERROR(VLOOKUP(LEFT(CopyTbl[[#This Row],[File Name]],6),MS_Data_TBL[],2,FALSE),"")</f>
        <v/>
      </c>
    </row>
    <row r="131" spans="1:8" ht="45" customHeight="1" x14ac:dyDescent="0.3">
      <c r="A131" s="1" t="str">
        <f>IF(CopyTbl[[#This Row],[File Name]]="","",CopyTbl[[#This Row],[Source Path]]&amp;"\"&amp;CopyTbl[[#This Row],[File Name]]&amp;CopyTbl[[#This Row],[Extend]])</f>
        <v/>
      </c>
      <c r="B13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1" s="29" t="str">
        <f>IF(CopyTbl[[#This Row],[File Name]]="","",Rename!$B$3)</f>
        <v/>
      </c>
      <c r="D131" s="19" t="str">
        <f t="shared" si="2"/>
        <v/>
      </c>
      <c r="E131" s="17" t="str">
        <f>IF(CopyTbl[[#This Row],[File Name]]="","",LEFT(CopyTbl[[#This Row],[File Name]],6))</f>
        <v/>
      </c>
      <c r="F131" s="1" t="str">
        <f>IFERROR(IF(FilesTbl[[#This Row],[Old Name]]="","",FilesTbl[[#This Row],[Old Name]]),"")</f>
        <v/>
      </c>
      <c r="G131" s="18" t="str">
        <f>IFERROR(IF(FilesTbl[[#This Row],[Extension]]="","",FilesTbl[[#This Row],[Extension]]),"")</f>
        <v/>
      </c>
      <c r="H131" t="str">
        <f>IFERROR(VLOOKUP(LEFT(CopyTbl[[#This Row],[File Name]],6),MS_Data_TBL[],2,FALSE),"")</f>
        <v/>
      </c>
    </row>
    <row r="132" spans="1:8" ht="45" customHeight="1" x14ac:dyDescent="0.3">
      <c r="A132" s="1" t="str">
        <f>IF(CopyTbl[[#This Row],[File Name]]="","",CopyTbl[[#This Row],[Source Path]]&amp;"\"&amp;CopyTbl[[#This Row],[File Name]]&amp;CopyTbl[[#This Row],[Extend]])</f>
        <v/>
      </c>
      <c r="B13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2" s="29" t="str">
        <f>IF(CopyTbl[[#This Row],[File Name]]="","",Rename!$B$3)</f>
        <v/>
      </c>
      <c r="D132" s="19" t="str">
        <f t="shared" si="2"/>
        <v/>
      </c>
      <c r="E132" s="17" t="str">
        <f>IF(CopyTbl[[#This Row],[File Name]]="","",LEFT(CopyTbl[[#This Row],[File Name]],6))</f>
        <v/>
      </c>
      <c r="F132" s="1" t="str">
        <f>IFERROR(IF(FilesTbl[[#This Row],[Old Name]]="","",FilesTbl[[#This Row],[Old Name]]),"")</f>
        <v/>
      </c>
      <c r="G132" s="18" t="str">
        <f>IFERROR(IF(FilesTbl[[#This Row],[Extension]]="","",FilesTbl[[#This Row],[Extension]]),"")</f>
        <v/>
      </c>
      <c r="H132" t="str">
        <f>IFERROR(VLOOKUP(LEFT(CopyTbl[[#This Row],[File Name]],6),MS_Data_TBL[],2,FALSE),"")</f>
        <v/>
      </c>
    </row>
    <row r="133" spans="1:8" ht="45" customHeight="1" x14ac:dyDescent="0.3">
      <c r="A133" s="1" t="str">
        <f>IF(CopyTbl[[#This Row],[File Name]]="","",CopyTbl[[#This Row],[Source Path]]&amp;"\"&amp;CopyTbl[[#This Row],[File Name]]&amp;CopyTbl[[#This Row],[Extend]])</f>
        <v/>
      </c>
      <c r="B13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3" s="29" t="str">
        <f>IF(CopyTbl[[#This Row],[File Name]]="","",Rename!$B$3)</f>
        <v/>
      </c>
      <c r="D133" s="19" t="str">
        <f t="shared" si="2"/>
        <v/>
      </c>
      <c r="E133" s="17" t="str">
        <f>IF(CopyTbl[[#This Row],[File Name]]="","",LEFT(CopyTbl[[#This Row],[File Name]],6))</f>
        <v/>
      </c>
      <c r="F133" s="1" t="str">
        <f>IFERROR(IF(FilesTbl[[#This Row],[Old Name]]="","",FilesTbl[[#This Row],[Old Name]]),"")</f>
        <v/>
      </c>
      <c r="G133" s="18" t="str">
        <f>IFERROR(IF(FilesTbl[[#This Row],[Extension]]="","",FilesTbl[[#This Row],[Extension]]),"")</f>
        <v/>
      </c>
      <c r="H133" t="str">
        <f>IFERROR(VLOOKUP(LEFT(CopyTbl[[#This Row],[File Name]],6),MS_Data_TBL[],2,FALSE),"")</f>
        <v/>
      </c>
    </row>
    <row r="134" spans="1:8" ht="45" customHeight="1" x14ac:dyDescent="0.3">
      <c r="A134" s="1" t="str">
        <f>IF(CopyTbl[[#This Row],[File Name]]="","",CopyTbl[[#This Row],[Source Path]]&amp;"\"&amp;CopyTbl[[#This Row],[File Name]]&amp;CopyTbl[[#This Row],[Extend]])</f>
        <v/>
      </c>
      <c r="B13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4" s="29" t="str">
        <f>IF(CopyTbl[[#This Row],[File Name]]="","",Rename!$B$3)</f>
        <v/>
      </c>
      <c r="D134" s="19" t="str">
        <f t="shared" si="2"/>
        <v/>
      </c>
      <c r="E134" s="17" t="str">
        <f>IF(CopyTbl[[#This Row],[File Name]]="","",LEFT(CopyTbl[[#This Row],[File Name]],6))</f>
        <v/>
      </c>
      <c r="F134" s="1" t="str">
        <f>IFERROR(IF(FilesTbl[[#This Row],[Old Name]]="","",FilesTbl[[#This Row],[Old Name]]),"")</f>
        <v/>
      </c>
      <c r="G134" s="18" t="str">
        <f>IFERROR(IF(FilesTbl[[#This Row],[Extension]]="","",FilesTbl[[#This Row],[Extension]]),"")</f>
        <v/>
      </c>
      <c r="H134" t="str">
        <f>IFERROR(VLOOKUP(LEFT(CopyTbl[[#This Row],[File Name]],6),MS_Data_TBL[],2,FALSE),"")</f>
        <v/>
      </c>
    </row>
    <row r="135" spans="1:8" ht="45" customHeight="1" x14ac:dyDescent="0.3">
      <c r="A135" s="1" t="str">
        <f>IF(CopyTbl[[#This Row],[File Name]]="","",CopyTbl[[#This Row],[Source Path]]&amp;"\"&amp;CopyTbl[[#This Row],[File Name]]&amp;CopyTbl[[#This Row],[Extend]])</f>
        <v/>
      </c>
      <c r="B13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5" s="29" t="str">
        <f>IF(CopyTbl[[#This Row],[File Name]]="","",Rename!$B$3)</f>
        <v/>
      </c>
      <c r="D135" s="19" t="str">
        <f t="shared" si="2"/>
        <v/>
      </c>
      <c r="E135" s="17" t="str">
        <f>IF(CopyTbl[[#This Row],[File Name]]="","",LEFT(CopyTbl[[#This Row],[File Name]],6))</f>
        <v/>
      </c>
      <c r="F135" s="1" t="str">
        <f>IFERROR(IF(FilesTbl[[#This Row],[Old Name]]="","",FilesTbl[[#This Row],[Old Name]]),"")</f>
        <v/>
      </c>
      <c r="G135" s="18" t="str">
        <f>IFERROR(IF(FilesTbl[[#This Row],[Extension]]="","",FilesTbl[[#This Row],[Extension]]),"")</f>
        <v/>
      </c>
      <c r="H135" t="str">
        <f>IFERROR(VLOOKUP(LEFT(CopyTbl[[#This Row],[File Name]],6),MS_Data_TBL[],2,FALSE),"")</f>
        <v/>
      </c>
    </row>
    <row r="136" spans="1:8" ht="45" customHeight="1" x14ac:dyDescent="0.3">
      <c r="A136" s="1" t="str">
        <f>IF(CopyTbl[[#This Row],[File Name]]="","",CopyTbl[[#This Row],[Source Path]]&amp;"\"&amp;CopyTbl[[#This Row],[File Name]]&amp;CopyTbl[[#This Row],[Extend]])</f>
        <v/>
      </c>
      <c r="B13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6" s="29" t="str">
        <f>IF(CopyTbl[[#This Row],[File Name]]="","",Rename!$B$3)</f>
        <v/>
      </c>
      <c r="D136" s="19" t="str">
        <f t="shared" si="2"/>
        <v/>
      </c>
      <c r="E136" s="17" t="str">
        <f>IF(CopyTbl[[#This Row],[File Name]]="","",LEFT(CopyTbl[[#This Row],[File Name]],6))</f>
        <v/>
      </c>
      <c r="F136" s="1" t="str">
        <f>IFERROR(IF(FilesTbl[[#This Row],[Old Name]]="","",FilesTbl[[#This Row],[Old Name]]),"")</f>
        <v/>
      </c>
      <c r="G136" s="18" t="str">
        <f>IFERROR(IF(FilesTbl[[#This Row],[Extension]]="","",FilesTbl[[#This Row],[Extension]]),"")</f>
        <v/>
      </c>
      <c r="H136" t="str">
        <f>IFERROR(VLOOKUP(LEFT(CopyTbl[[#This Row],[File Name]],6),MS_Data_TBL[],2,FALSE),"")</f>
        <v/>
      </c>
    </row>
    <row r="137" spans="1:8" ht="45" customHeight="1" x14ac:dyDescent="0.3">
      <c r="A137" s="1" t="str">
        <f>IF(CopyTbl[[#This Row],[File Name]]="","",CopyTbl[[#This Row],[Source Path]]&amp;"\"&amp;CopyTbl[[#This Row],[File Name]]&amp;CopyTbl[[#This Row],[Extend]])</f>
        <v/>
      </c>
      <c r="B13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7" s="29" t="str">
        <f>IF(CopyTbl[[#This Row],[File Name]]="","",Rename!$B$3)</f>
        <v/>
      </c>
      <c r="D137" s="19" t="str">
        <f t="shared" si="2"/>
        <v/>
      </c>
      <c r="E137" s="17" t="str">
        <f>IF(CopyTbl[[#This Row],[File Name]]="","",LEFT(CopyTbl[[#This Row],[File Name]],6))</f>
        <v/>
      </c>
      <c r="F137" s="1" t="str">
        <f>IFERROR(IF(FilesTbl[[#This Row],[Old Name]]="","",FilesTbl[[#This Row],[Old Name]]),"")</f>
        <v/>
      </c>
      <c r="G137" s="18" t="str">
        <f>IFERROR(IF(FilesTbl[[#This Row],[Extension]]="","",FilesTbl[[#This Row],[Extension]]),"")</f>
        <v/>
      </c>
      <c r="H137" t="str">
        <f>IFERROR(VLOOKUP(LEFT(CopyTbl[[#This Row],[File Name]],6),MS_Data_TBL[],2,FALSE),"")</f>
        <v/>
      </c>
    </row>
    <row r="138" spans="1:8" ht="45" customHeight="1" x14ac:dyDescent="0.3">
      <c r="A138" s="1" t="str">
        <f>IF(CopyTbl[[#This Row],[File Name]]="","",CopyTbl[[#This Row],[Source Path]]&amp;"\"&amp;CopyTbl[[#This Row],[File Name]]&amp;CopyTbl[[#This Row],[Extend]])</f>
        <v/>
      </c>
      <c r="B13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8" s="29" t="str">
        <f>IF(CopyTbl[[#This Row],[File Name]]="","",Rename!$B$3)</f>
        <v/>
      </c>
      <c r="D138" s="19" t="str">
        <f t="shared" si="2"/>
        <v/>
      </c>
      <c r="E138" s="17" t="str">
        <f>IF(CopyTbl[[#This Row],[File Name]]="","",LEFT(CopyTbl[[#This Row],[File Name]],6))</f>
        <v/>
      </c>
      <c r="F138" s="1" t="str">
        <f>IFERROR(IF(FilesTbl[[#This Row],[Old Name]]="","",FilesTbl[[#This Row],[Old Name]]),"")</f>
        <v/>
      </c>
      <c r="G138" s="18" t="str">
        <f>IFERROR(IF(FilesTbl[[#This Row],[Extension]]="","",FilesTbl[[#This Row],[Extension]]),"")</f>
        <v/>
      </c>
      <c r="H138" t="str">
        <f>IFERROR(VLOOKUP(LEFT(CopyTbl[[#This Row],[File Name]],6),MS_Data_TBL[],2,FALSE),"")</f>
        <v/>
      </c>
    </row>
    <row r="139" spans="1:8" ht="45" customHeight="1" x14ac:dyDescent="0.3">
      <c r="A139" s="1" t="str">
        <f>IF(CopyTbl[[#This Row],[File Name]]="","",CopyTbl[[#This Row],[Source Path]]&amp;"\"&amp;CopyTbl[[#This Row],[File Name]]&amp;CopyTbl[[#This Row],[Extend]])</f>
        <v/>
      </c>
      <c r="B13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39" s="29" t="str">
        <f>IF(CopyTbl[[#This Row],[File Name]]="","",Rename!$B$3)</f>
        <v/>
      </c>
      <c r="D139" s="19" t="str">
        <f t="shared" si="2"/>
        <v/>
      </c>
      <c r="E139" s="17" t="str">
        <f>IF(CopyTbl[[#This Row],[File Name]]="","",LEFT(CopyTbl[[#This Row],[File Name]],6))</f>
        <v/>
      </c>
      <c r="F139" s="1" t="str">
        <f>IFERROR(IF(FilesTbl[[#This Row],[Old Name]]="","",FilesTbl[[#This Row],[Old Name]]),"")</f>
        <v/>
      </c>
      <c r="G139" s="18" t="str">
        <f>IFERROR(IF(FilesTbl[[#This Row],[Extension]]="","",FilesTbl[[#This Row],[Extension]]),"")</f>
        <v/>
      </c>
      <c r="H139" t="str">
        <f>IFERROR(VLOOKUP(LEFT(CopyTbl[[#This Row],[File Name]],6),MS_Data_TBL[],2,FALSE),"")</f>
        <v/>
      </c>
    </row>
    <row r="140" spans="1:8" ht="45" customHeight="1" x14ac:dyDescent="0.3">
      <c r="A140" s="1" t="str">
        <f>IF(CopyTbl[[#This Row],[File Name]]="","",CopyTbl[[#This Row],[Source Path]]&amp;"\"&amp;CopyTbl[[#This Row],[File Name]]&amp;CopyTbl[[#This Row],[Extend]])</f>
        <v/>
      </c>
      <c r="B14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0" s="29" t="str">
        <f>IF(CopyTbl[[#This Row],[File Name]]="","",Rename!$B$3)</f>
        <v/>
      </c>
      <c r="D140" s="19" t="str">
        <f t="shared" si="2"/>
        <v/>
      </c>
      <c r="E140" s="17" t="str">
        <f>IF(CopyTbl[[#This Row],[File Name]]="","",LEFT(CopyTbl[[#This Row],[File Name]],6))</f>
        <v/>
      </c>
      <c r="F140" s="1" t="str">
        <f>IFERROR(IF(FilesTbl[[#This Row],[Old Name]]="","",FilesTbl[[#This Row],[Old Name]]),"")</f>
        <v/>
      </c>
      <c r="G140" s="18" t="str">
        <f>IFERROR(IF(FilesTbl[[#This Row],[Extension]]="","",FilesTbl[[#This Row],[Extension]]),"")</f>
        <v/>
      </c>
      <c r="H140" t="str">
        <f>IFERROR(VLOOKUP(LEFT(CopyTbl[[#This Row],[File Name]],6),MS_Data_TBL[],2,FALSE),"")</f>
        <v/>
      </c>
    </row>
    <row r="141" spans="1:8" ht="45" customHeight="1" x14ac:dyDescent="0.3">
      <c r="A141" s="1" t="str">
        <f>IF(CopyTbl[[#This Row],[File Name]]="","",CopyTbl[[#This Row],[Source Path]]&amp;"\"&amp;CopyTbl[[#This Row],[File Name]]&amp;CopyTbl[[#This Row],[Extend]])</f>
        <v/>
      </c>
      <c r="B14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1" s="29" t="str">
        <f>IF(CopyTbl[[#This Row],[File Name]]="","",Rename!$B$3)</f>
        <v/>
      </c>
      <c r="D141" s="19" t="str">
        <f t="shared" si="2"/>
        <v/>
      </c>
      <c r="E141" s="17" t="str">
        <f>IF(CopyTbl[[#This Row],[File Name]]="","",LEFT(CopyTbl[[#This Row],[File Name]],6))</f>
        <v/>
      </c>
      <c r="F141" s="1" t="str">
        <f>IFERROR(IF(FilesTbl[[#This Row],[Old Name]]="","",FilesTbl[[#This Row],[Old Name]]),"")</f>
        <v/>
      </c>
      <c r="G141" s="18" t="str">
        <f>IFERROR(IF(FilesTbl[[#This Row],[Extension]]="","",FilesTbl[[#This Row],[Extension]]),"")</f>
        <v/>
      </c>
      <c r="H141" t="str">
        <f>IFERROR(VLOOKUP(LEFT(CopyTbl[[#This Row],[File Name]],6),MS_Data_TBL[],2,FALSE),"")</f>
        <v/>
      </c>
    </row>
    <row r="142" spans="1:8" ht="45" customHeight="1" x14ac:dyDescent="0.3">
      <c r="A142" s="1" t="str">
        <f>IF(CopyTbl[[#This Row],[File Name]]="","",CopyTbl[[#This Row],[Source Path]]&amp;"\"&amp;CopyTbl[[#This Row],[File Name]]&amp;CopyTbl[[#This Row],[Extend]])</f>
        <v/>
      </c>
      <c r="B14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2" s="29" t="str">
        <f>IF(CopyTbl[[#This Row],[File Name]]="","",Rename!$B$3)</f>
        <v/>
      </c>
      <c r="D142" s="19" t="str">
        <f t="shared" si="2"/>
        <v/>
      </c>
      <c r="E142" s="17" t="str">
        <f>IF(CopyTbl[[#This Row],[File Name]]="","",LEFT(CopyTbl[[#This Row],[File Name]],6))</f>
        <v/>
      </c>
      <c r="F142" s="1" t="str">
        <f>IFERROR(IF(FilesTbl[[#This Row],[Old Name]]="","",FilesTbl[[#This Row],[Old Name]]),"")</f>
        <v/>
      </c>
      <c r="G142" s="18" t="str">
        <f>IFERROR(IF(FilesTbl[[#This Row],[Extension]]="","",FilesTbl[[#This Row],[Extension]]),"")</f>
        <v/>
      </c>
      <c r="H142" t="str">
        <f>IFERROR(VLOOKUP(LEFT(CopyTbl[[#This Row],[File Name]],6),MS_Data_TBL[],2,FALSE),"")</f>
        <v/>
      </c>
    </row>
    <row r="143" spans="1:8" ht="45" customHeight="1" x14ac:dyDescent="0.3">
      <c r="A143" s="1" t="str">
        <f>IF(CopyTbl[[#This Row],[File Name]]="","",CopyTbl[[#This Row],[Source Path]]&amp;"\"&amp;CopyTbl[[#This Row],[File Name]]&amp;CopyTbl[[#This Row],[Extend]])</f>
        <v/>
      </c>
      <c r="B14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3" s="29" t="str">
        <f>IF(CopyTbl[[#This Row],[File Name]]="","",Rename!$B$3)</f>
        <v/>
      </c>
      <c r="D143" s="19" t="str">
        <f t="shared" si="2"/>
        <v/>
      </c>
      <c r="E143" s="17" t="str">
        <f>IF(CopyTbl[[#This Row],[File Name]]="","",LEFT(CopyTbl[[#This Row],[File Name]],6))</f>
        <v/>
      </c>
      <c r="F143" s="1" t="str">
        <f>IFERROR(IF(FilesTbl[[#This Row],[Old Name]]="","",FilesTbl[[#This Row],[Old Name]]),"")</f>
        <v/>
      </c>
      <c r="G143" s="18" t="str">
        <f>IFERROR(IF(FilesTbl[[#This Row],[Extension]]="","",FilesTbl[[#This Row],[Extension]]),"")</f>
        <v/>
      </c>
      <c r="H143" t="str">
        <f>IFERROR(VLOOKUP(LEFT(CopyTbl[[#This Row],[File Name]],6),MS_Data_TBL[],2,FALSE),"")</f>
        <v/>
      </c>
    </row>
    <row r="144" spans="1:8" ht="45" customHeight="1" x14ac:dyDescent="0.3">
      <c r="A144" s="1" t="str">
        <f>IF(CopyTbl[[#This Row],[File Name]]="","",CopyTbl[[#This Row],[Source Path]]&amp;"\"&amp;CopyTbl[[#This Row],[File Name]]&amp;CopyTbl[[#This Row],[Extend]])</f>
        <v/>
      </c>
      <c r="B14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4" s="29" t="str">
        <f>IF(CopyTbl[[#This Row],[File Name]]="","",Rename!$B$3)</f>
        <v/>
      </c>
      <c r="D144" s="19" t="str">
        <f t="shared" si="2"/>
        <v/>
      </c>
      <c r="E144" s="17" t="str">
        <f>IF(CopyTbl[[#This Row],[File Name]]="","",LEFT(CopyTbl[[#This Row],[File Name]],6))</f>
        <v/>
      </c>
      <c r="F144" s="1" t="str">
        <f>IFERROR(IF(FilesTbl[[#This Row],[Old Name]]="","",FilesTbl[[#This Row],[Old Name]]),"")</f>
        <v/>
      </c>
      <c r="G144" s="18" t="str">
        <f>IFERROR(IF(FilesTbl[[#This Row],[Extension]]="","",FilesTbl[[#This Row],[Extension]]),"")</f>
        <v/>
      </c>
      <c r="H144" t="str">
        <f>IFERROR(VLOOKUP(LEFT(CopyTbl[[#This Row],[File Name]],6),MS_Data_TBL[],2,FALSE),"")</f>
        <v/>
      </c>
    </row>
    <row r="145" spans="1:8" ht="45" customHeight="1" x14ac:dyDescent="0.3">
      <c r="A145" s="1" t="str">
        <f>IF(CopyTbl[[#This Row],[File Name]]="","",CopyTbl[[#This Row],[Source Path]]&amp;"\"&amp;CopyTbl[[#This Row],[File Name]]&amp;CopyTbl[[#This Row],[Extend]])</f>
        <v/>
      </c>
      <c r="B14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5" s="29" t="str">
        <f>IF(CopyTbl[[#This Row],[File Name]]="","",Rename!$B$3)</f>
        <v/>
      </c>
      <c r="D145" s="19" t="str">
        <f t="shared" si="2"/>
        <v/>
      </c>
      <c r="E145" s="17" t="str">
        <f>IF(CopyTbl[[#This Row],[File Name]]="","",LEFT(CopyTbl[[#This Row],[File Name]],6))</f>
        <v/>
      </c>
      <c r="F145" s="1" t="str">
        <f>IFERROR(IF(FilesTbl[[#This Row],[Old Name]]="","",FilesTbl[[#This Row],[Old Name]]),"")</f>
        <v/>
      </c>
      <c r="G145" s="18" t="str">
        <f>IFERROR(IF(FilesTbl[[#This Row],[Extension]]="","",FilesTbl[[#This Row],[Extension]]),"")</f>
        <v/>
      </c>
      <c r="H145" t="str">
        <f>IFERROR(VLOOKUP(LEFT(CopyTbl[[#This Row],[File Name]],6),MS_Data_TBL[],2,FALSE),"")</f>
        <v/>
      </c>
    </row>
    <row r="146" spans="1:8" ht="45" customHeight="1" x14ac:dyDescent="0.3">
      <c r="A146" s="1" t="str">
        <f>IF(CopyTbl[[#This Row],[File Name]]="","",CopyTbl[[#This Row],[Source Path]]&amp;"\"&amp;CopyTbl[[#This Row],[File Name]]&amp;CopyTbl[[#This Row],[Extend]])</f>
        <v/>
      </c>
      <c r="B14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6" s="29" t="str">
        <f>IF(CopyTbl[[#This Row],[File Name]]="","",Rename!$B$3)</f>
        <v/>
      </c>
      <c r="D146" s="19" t="str">
        <f t="shared" si="2"/>
        <v/>
      </c>
      <c r="E146" s="17" t="str">
        <f>IF(CopyTbl[[#This Row],[File Name]]="","",LEFT(CopyTbl[[#This Row],[File Name]],6))</f>
        <v/>
      </c>
      <c r="F146" s="1" t="str">
        <f>IFERROR(IF(FilesTbl[[#This Row],[Old Name]]="","",FilesTbl[[#This Row],[Old Name]]),"")</f>
        <v/>
      </c>
      <c r="G146" s="18" t="str">
        <f>IFERROR(IF(FilesTbl[[#This Row],[Extension]]="","",FilesTbl[[#This Row],[Extension]]),"")</f>
        <v/>
      </c>
      <c r="H146" t="str">
        <f>IFERROR(VLOOKUP(LEFT(CopyTbl[[#This Row],[File Name]],6),MS_Data_TBL[],2,FALSE),"")</f>
        <v/>
      </c>
    </row>
    <row r="147" spans="1:8" ht="45" customHeight="1" x14ac:dyDescent="0.3">
      <c r="A147" s="1" t="str">
        <f>IF(CopyTbl[[#This Row],[File Name]]="","",CopyTbl[[#This Row],[Source Path]]&amp;"\"&amp;CopyTbl[[#This Row],[File Name]]&amp;CopyTbl[[#This Row],[Extend]])</f>
        <v/>
      </c>
      <c r="B14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7" s="29" t="str">
        <f>IF(CopyTbl[[#This Row],[File Name]]="","",Rename!$B$3)</f>
        <v/>
      </c>
      <c r="D147" s="19" t="str">
        <f t="shared" si="2"/>
        <v/>
      </c>
      <c r="E147" s="17" t="str">
        <f>IF(CopyTbl[[#This Row],[File Name]]="","",LEFT(CopyTbl[[#This Row],[File Name]],6))</f>
        <v/>
      </c>
      <c r="F147" s="1" t="str">
        <f>IFERROR(IF(FilesTbl[[#This Row],[Old Name]]="","",FilesTbl[[#This Row],[Old Name]]),"")</f>
        <v/>
      </c>
      <c r="G147" s="18" t="str">
        <f>IFERROR(IF(FilesTbl[[#This Row],[Extension]]="","",FilesTbl[[#This Row],[Extension]]),"")</f>
        <v/>
      </c>
      <c r="H147" t="str">
        <f>IFERROR(VLOOKUP(LEFT(CopyTbl[[#This Row],[File Name]],6),MS_Data_TBL[],2,FALSE),"")</f>
        <v/>
      </c>
    </row>
    <row r="148" spans="1:8" ht="45" customHeight="1" x14ac:dyDescent="0.3">
      <c r="A148" s="1" t="str">
        <f>IF(CopyTbl[[#This Row],[File Name]]="","",CopyTbl[[#This Row],[Source Path]]&amp;"\"&amp;CopyTbl[[#This Row],[File Name]]&amp;CopyTbl[[#This Row],[Extend]])</f>
        <v/>
      </c>
      <c r="B14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8" s="29" t="str">
        <f>IF(CopyTbl[[#This Row],[File Name]]="","",Rename!$B$3)</f>
        <v/>
      </c>
      <c r="D148" s="19" t="str">
        <f t="shared" si="2"/>
        <v/>
      </c>
      <c r="E148" s="17" t="str">
        <f>IF(CopyTbl[[#This Row],[File Name]]="","",LEFT(CopyTbl[[#This Row],[File Name]],6))</f>
        <v/>
      </c>
      <c r="F148" s="1" t="str">
        <f>IFERROR(IF(FilesTbl[[#This Row],[Old Name]]="","",FilesTbl[[#This Row],[Old Name]]),"")</f>
        <v/>
      </c>
      <c r="G148" s="18" t="str">
        <f>IFERROR(IF(FilesTbl[[#This Row],[Extension]]="","",FilesTbl[[#This Row],[Extension]]),"")</f>
        <v/>
      </c>
      <c r="H148" t="str">
        <f>IFERROR(VLOOKUP(LEFT(CopyTbl[[#This Row],[File Name]],6),MS_Data_TBL[],2,FALSE),"")</f>
        <v/>
      </c>
    </row>
    <row r="149" spans="1:8" ht="45" customHeight="1" x14ac:dyDescent="0.3">
      <c r="A149" s="1" t="str">
        <f>IF(CopyTbl[[#This Row],[File Name]]="","",CopyTbl[[#This Row],[Source Path]]&amp;"\"&amp;CopyTbl[[#This Row],[File Name]]&amp;CopyTbl[[#This Row],[Extend]])</f>
        <v/>
      </c>
      <c r="B14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49" s="29" t="str">
        <f>IF(CopyTbl[[#This Row],[File Name]]="","",Rename!$B$3)</f>
        <v/>
      </c>
      <c r="D149" s="19" t="str">
        <f t="shared" si="2"/>
        <v/>
      </c>
      <c r="E149" s="17" t="str">
        <f>IF(CopyTbl[[#This Row],[File Name]]="","",LEFT(CopyTbl[[#This Row],[File Name]],6))</f>
        <v/>
      </c>
      <c r="F149" s="1" t="str">
        <f>IFERROR(IF(FilesTbl[[#This Row],[Old Name]]="","",FilesTbl[[#This Row],[Old Name]]),"")</f>
        <v/>
      </c>
      <c r="G149" s="18" t="str">
        <f>IFERROR(IF(FilesTbl[[#This Row],[Extension]]="","",FilesTbl[[#This Row],[Extension]]),"")</f>
        <v/>
      </c>
      <c r="H149" t="str">
        <f>IFERROR(VLOOKUP(LEFT(CopyTbl[[#This Row],[File Name]],6),MS_Data_TBL[],2,FALSE),"")</f>
        <v/>
      </c>
    </row>
    <row r="150" spans="1:8" ht="45" customHeight="1" x14ac:dyDescent="0.3">
      <c r="A150" s="1" t="str">
        <f>IF(CopyTbl[[#This Row],[File Name]]="","",CopyTbl[[#This Row],[Source Path]]&amp;"\"&amp;CopyTbl[[#This Row],[File Name]]&amp;CopyTbl[[#This Row],[Extend]])</f>
        <v/>
      </c>
      <c r="B15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0" s="29" t="str">
        <f>IF(CopyTbl[[#This Row],[File Name]]="","",Rename!$B$3)</f>
        <v/>
      </c>
      <c r="D150" s="19" t="str">
        <f t="shared" si="2"/>
        <v/>
      </c>
      <c r="E150" s="17" t="str">
        <f>IF(CopyTbl[[#This Row],[File Name]]="","",LEFT(CopyTbl[[#This Row],[File Name]],6))</f>
        <v/>
      </c>
      <c r="F150" s="1" t="str">
        <f>IFERROR(IF(FilesTbl[[#This Row],[Old Name]]="","",FilesTbl[[#This Row],[Old Name]]),"")</f>
        <v/>
      </c>
      <c r="G150" s="18" t="str">
        <f>IFERROR(IF(FilesTbl[[#This Row],[Extension]]="","",FilesTbl[[#This Row],[Extension]]),"")</f>
        <v/>
      </c>
      <c r="H150" t="str">
        <f>IFERROR(VLOOKUP(LEFT(CopyTbl[[#This Row],[File Name]],6),MS_Data_TBL[],2,FALSE),"")</f>
        <v/>
      </c>
    </row>
    <row r="151" spans="1:8" ht="45" customHeight="1" x14ac:dyDescent="0.3">
      <c r="A151" s="1" t="str">
        <f>IF(CopyTbl[[#This Row],[File Name]]="","",CopyTbl[[#This Row],[Source Path]]&amp;"\"&amp;CopyTbl[[#This Row],[File Name]]&amp;CopyTbl[[#This Row],[Extend]])</f>
        <v/>
      </c>
      <c r="B15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1" s="29" t="str">
        <f>IF(CopyTbl[[#This Row],[File Name]]="","",Rename!$B$3)</f>
        <v/>
      </c>
      <c r="D151" s="19" t="str">
        <f t="shared" si="2"/>
        <v/>
      </c>
      <c r="E151" s="17" t="str">
        <f>IF(CopyTbl[[#This Row],[File Name]]="","",LEFT(CopyTbl[[#This Row],[File Name]],6))</f>
        <v/>
      </c>
      <c r="F151" s="1" t="str">
        <f>IFERROR(IF(FilesTbl[[#This Row],[Old Name]]="","",FilesTbl[[#This Row],[Old Name]]),"")</f>
        <v/>
      </c>
      <c r="G151" s="18" t="str">
        <f>IFERROR(IF(FilesTbl[[#This Row],[Extension]]="","",FilesTbl[[#This Row],[Extension]]),"")</f>
        <v/>
      </c>
      <c r="H151" t="str">
        <f>IFERROR(VLOOKUP(LEFT(CopyTbl[[#This Row],[File Name]],6),MS_Data_TBL[],2,FALSE),"")</f>
        <v/>
      </c>
    </row>
    <row r="152" spans="1:8" ht="45" customHeight="1" x14ac:dyDescent="0.3">
      <c r="A152" s="1" t="str">
        <f>IF(CopyTbl[[#This Row],[File Name]]="","",CopyTbl[[#This Row],[Source Path]]&amp;"\"&amp;CopyTbl[[#This Row],[File Name]]&amp;CopyTbl[[#This Row],[Extend]])</f>
        <v/>
      </c>
      <c r="B15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2" s="29" t="str">
        <f>IF(CopyTbl[[#This Row],[File Name]]="","",Rename!$B$3)</f>
        <v/>
      </c>
      <c r="D152" s="19" t="str">
        <f t="shared" si="2"/>
        <v/>
      </c>
      <c r="E152" s="17" t="str">
        <f>IF(CopyTbl[[#This Row],[File Name]]="","",LEFT(CopyTbl[[#This Row],[File Name]],6))</f>
        <v/>
      </c>
      <c r="F152" s="1" t="str">
        <f>IFERROR(IF(FilesTbl[[#This Row],[Old Name]]="","",FilesTbl[[#This Row],[Old Name]]),"")</f>
        <v/>
      </c>
      <c r="G152" s="18" t="str">
        <f>IFERROR(IF(FilesTbl[[#This Row],[Extension]]="","",FilesTbl[[#This Row],[Extension]]),"")</f>
        <v/>
      </c>
      <c r="H152" t="str">
        <f>IFERROR(VLOOKUP(LEFT(CopyTbl[[#This Row],[File Name]],6),MS_Data_TBL[],2,FALSE),"")</f>
        <v/>
      </c>
    </row>
    <row r="153" spans="1:8" ht="45" customHeight="1" x14ac:dyDescent="0.3">
      <c r="A153" s="1" t="str">
        <f>IF(CopyTbl[[#This Row],[File Name]]="","",CopyTbl[[#This Row],[Source Path]]&amp;"\"&amp;CopyTbl[[#This Row],[File Name]]&amp;CopyTbl[[#This Row],[Extend]])</f>
        <v/>
      </c>
      <c r="B15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3" s="29" t="str">
        <f>IF(CopyTbl[[#This Row],[File Name]]="","",Rename!$B$3)</f>
        <v/>
      </c>
      <c r="D153" s="19" t="str">
        <f t="shared" si="2"/>
        <v/>
      </c>
      <c r="E153" s="17" t="str">
        <f>IF(CopyTbl[[#This Row],[File Name]]="","",LEFT(CopyTbl[[#This Row],[File Name]],6))</f>
        <v/>
      </c>
      <c r="F153" s="1" t="str">
        <f>IFERROR(IF(FilesTbl[[#This Row],[Old Name]]="","",FilesTbl[[#This Row],[Old Name]]),"")</f>
        <v/>
      </c>
      <c r="G153" s="18" t="str">
        <f>IFERROR(IF(FilesTbl[[#This Row],[Extension]]="","",FilesTbl[[#This Row],[Extension]]),"")</f>
        <v/>
      </c>
      <c r="H153" t="str">
        <f>IFERROR(VLOOKUP(LEFT(CopyTbl[[#This Row],[File Name]],6),MS_Data_TBL[],2,FALSE),"")</f>
        <v/>
      </c>
    </row>
    <row r="154" spans="1:8" ht="45" customHeight="1" x14ac:dyDescent="0.3">
      <c r="A154" s="1" t="str">
        <f>IF(CopyTbl[[#This Row],[File Name]]="","",CopyTbl[[#This Row],[Source Path]]&amp;"\"&amp;CopyTbl[[#This Row],[File Name]]&amp;CopyTbl[[#This Row],[Extend]])</f>
        <v/>
      </c>
      <c r="B15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4" s="29" t="str">
        <f>IF(CopyTbl[[#This Row],[File Name]]="","",Rename!$B$3)</f>
        <v/>
      </c>
      <c r="D154" s="19" t="str">
        <f t="shared" si="2"/>
        <v/>
      </c>
      <c r="E154" s="17" t="str">
        <f>IF(CopyTbl[[#This Row],[File Name]]="","",LEFT(CopyTbl[[#This Row],[File Name]],6))</f>
        <v/>
      </c>
      <c r="F154" s="1" t="str">
        <f>IFERROR(IF(FilesTbl[[#This Row],[Old Name]]="","",FilesTbl[[#This Row],[Old Name]]),"")</f>
        <v/>
      </c>
      <c r="G154" s="18" t="str">
        <f>IFERROR(IF(FilesTbl[[#This Row],[Extension]]="","",FilesTbl[[#This Row],[Extension]]),"")</f>
        <v/>
      </c>
      <c r="H154" t="str">
        <f>IFERROR(VLOOKUP(LEFT(CopyTbl[[#This Row],[File Name]],6),MS_Data_TBL[],2,FALSE),"")</f>
        <v/>
      </c>
    </row>
    <row r="155" spans="1:8" ht="45" customHeight="1" x14ac:dyDescent="0.3">
      <c r="A155" s="1" t="str">
        <f>IF(CopyTbl[[#This Row],[File Name]]="","",CopyTbl[[#This Row],[Source Path]]&amp;"\"&amp;CopyTbl[[#This Row],[File Name]]&amp;CopyTbl[[#This Row],[Extend]])</f>
        <v/>
      </c>
      <c r="B15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5" s="29" t="str">
        <f>IF(CopyTbl[[#This Row],[File Name]]="","",Rename!$B$3)</f>
        <v/>
      </c>
      <c r="D155" s="19" t="str">
        <f t="shared" si="2"/>
        <v/>
      </c>
      <c r="E155" s="17" t="str">
        <f>IF(CopyTbl[[#This Row],[File Name]]="","",LEFT(CopyTbl[[#This Row],[File Name]],6))</f>
        <v/>
      </c>
      <c r="F155" s="1" t="str">
        <f>IFERROR(IF(FilesTbl[[#This Row],[Old Name]]="","",FilesTbl[[#This Row],[Old Name]]),"")</f>
        <v/>
      </c>
      <c r="G155" s="18" t="str">
        <f>IFERROR(IF(FilesTbl[[#This Row],[Extension]]="","",FilesTbl[[#This Row],[Extension]]),"")</f>
        <v/>
      </c>
      <c r="H155" t="str">
        <f>IFERROR(VLOOKUP(LEFT(CopyTbl[[#This Row],[File Name]],6),MS_Data_TBL[],2,FALSE),"")</f>
        <v/>
      </c>
    </row>
    <row r="156" spans="1:8" ht="45" customHeight="1" x14ac:dyDescent="0.3">
      <c r="A156" s="1" t="str">
        <f>IF(CopyTbl[[#This Row],[File Name]]="","",CopyTbl[[#This Row],[Source Path]]&amp;"\"&amp;CopyTbl[[#This Row],[File Name]]&amp;CopyTbl[[#This Row],[Extend]])</f>
        <v/>
      </c>
      <c r="B15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6" s="29" t="str">
        <f>IF(CopyTbl[[#This Row],[File Name]]="","",Rename!$B$3)</f>
        <v/>
      </c>
      <c r="D156" s="19" t="str">
        <f t="shared" si="2"/>
        <v/>
      </c>
      <c r="E156" s="17" t="str">
        <f>IF(CopyTbl[[#This Row],[File Name]]="","",LEFT(CopyTbl[[#This Row],[File Name]],6))</f>
        <v/>
      </c>
      <c r="F156" s="1" t="str">
        <f>IFERROR(IF(FilesTbl[[#This Row],[Old Name]]="","",FilesTbl[[#This Row],[Old Name]]),"")</f>
        <v/>
      </c>
      <c r="G156" s="18" t="str">
        <f>IFERROR(IF(FilesTbl[[#This Row],[Extension]]="","",FilesTbl[[#This Row],[Extension]]),"")</f>
        <v/>
      </c>
      <c r="H156" t="str">
        <f>IFERROR(VLOOKUP(LEFT(CopyTbl[[#This Row],[File Name]],6),MS_Data_TBL[],2,FALSE),"")</f>
        <v/>
      </c>
    </row>
    <row r="157" spans="1:8" ht="45" customHeight="1" x14ac:dyDescent="0.3">
      <c r="A157" s="1" t="str">
        <f>IF(CopyTbl[[#This Row],[File Name]]="","",CopyTbl[[#This Row],[Source Path]]&amp;"\"&amp;CopyTbl[[#This Row],[File Name]]&amp;CopyTbl[[#This Row],[Extend]])</f>
        <v/>
      </c>
      <c r="B15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7" s="29" t="str">
        <f>IF(CopyTbl[[#This Row],[File Name]]="","",Rename!$B$3)</f>
        <v/>
      </c>
      <c r="D157" s="19" t="str">
        <f t="shared" si="2"/>
        <v/>
      </c>
      <c r="E157" s="17" t="str">
        <f>IF(CopyTbl[[#This Row],[File Name]]="","",LEFT(CopyTbl[[#This Row],[File Name]],6))</f>
        <v/>
      </c>
      <c r="F157" s="1" t="str">
        <f>IFERROR(IF(FilesTbl[[#This Row],[Old Name]]="","",FilesTbl[[#This Row],[Old Name]]),"")</f>
        <v/>
      </c>
      <c r="G157" s="18" t="str">
        <f>IFERROR(IF(FilesTbl[[#This Row],[Extension]]="","",FilesTbl[[#This Row],[Extension]]),"")</f>
        <v/>
      </c>
      <c r="H157" t="str">
        <f>IFERROR(VLOOKUP(LEFT(CopyTbl[[#This Row],[File Name]],6),MS_Data_TBL[],2,FALSE),"")</f>
        <v/>
      </c>
    </row>
    <row r="158" spans="1:8" ht="45" customHeight="1" x14ac:dyDescent="0.3">
      <c r="A158" s="1" t="str">
        <f>IF(CopyTbl[[#This Row],[File Name]]="","",CopyTbl[[#This Row],[Source Path]]&amp;"\"&amp;CopyTbl[[#This Row],[File Name]]&amp;CopyTbl[[#This Row],[Extend]])</f>
        <v/>
      </c>
      <c r="B15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8" s="29" t="str">
        <f>IF(CopyTbl[[#This Row],[File Name]]="","",Rename!$B$3)</f>
        <v/>
      </c>
      <c r="D158" s="19" t="str">
        <f t="shared" si="2"/>
        <v/>
      </c>
      <c r="E158" s="17" t="str">
        <f>IF(CopyTbl[[#This Row],[File Name]]="","",LEFT(CopyTbl[[#This Row],[File Name]],6))</f>
        <v/>
      </c>
      <c r="F158" s="1" t="str">
        <f>IFERROR(IF(FilesTbl[[#This Row],[Old Name]]="","",FilesTbl[[#This Row],[Old Name]]),"")</f>
        <v/>
      </c>
      <c r="G158" s="18" t="str">
        <f>IFERROR(IF(FilesTbl[[#This Row],[Extension]]="","",FilesTbl[[#This Row],[Extension]]),"")</f>
        <v/>
      </c>
      <c r="H158" t="str">
        <f>IFERROR(VLOOKUP(LEFT(CopyTbl[[#This Row],[File Name]],6),MS_Data_TBL[],2,FALSE),"")</f>
        <v/>
      </c>
    </row>
    <row r="159" spans="1:8" ht="45" customHeight="1" x14ac:dyDescent="0.3">
      <c r="A159" s="1" t="str">
        <f>IF(CopyTbl[[#This Row],[File Name]]="","",CopyTbl[[#This Row],[Source Path]]&amp;"\"&amp;CopyTbl[[#This Row],[File Name]]&amp;CopyTbl[[#This Row],[Extend]])</f>
        <v/>
      </c>
      <c r="B15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59" s="29" t="str">
        <f>IF(CopyTbl[[#This Row],[File Name]]="","",Rename!$B$3)</f>
        <v/>
      </c>
      <c r="D159" s="19" t="str">
        <f t="shared" si="2"/>
        <v/>
      </c>
      <c r="E159" s="17" t="str">
        <f>IF(CopyTbl[[#This Row],[File Name]]="","",LEFT(CopyTbl[[#This Row],[File Name]],6))</f>
        <v/>
      </c>
      <c r="F159" s="1" t="str">
        <f>IFERROR(IF(FilesTbl[[#This Row],[Old Name]]="","",FilesTbl[[#This Row],[Old Name]]),"")</f>
        <v/>
      </c>
      <c r="G159" s="18" t="str">
        <f>IFERROR(IF(FilesTbl[[#This Row],[Extension]]="","",FilesTbl[[#This Row],[Extension]]),"")</f>
        <v/>
      </c>
      <c r="H159" t="str">
        <f>IFERROR(VLOOKUP(LEFT(CopyTbl[[#This Row],[File Name]],6),MS_Data_TBL[],2,FALSE),"")</f>
        <v/>
      </c>
    </row>
    <row r="160" spans="1:8" ht="45" customHeight="1" x14ac:dyDescent="0.3">
      <c r="A160" s="1" t="str">
        <f>IF(CopyTbl[[#This Row],[File Name]]="","",CopyTbl[[#This Row],[Source Path]]&amp;"\"&amp;CopyTbl[[#This Row],[File Name]]&amp;CopyTbl[[#This Row],[Extend]])</f>
        <v/>
      </c>
      <c r="B16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0" s="29" t="str">
        <f>IF(CopyTbl[[#This Row],[File Name]]="","",Rename!$B$3)</f>
        <v/>
      </c>
      <c r="D160" s="19" t="str">
        <f t="shared" si="2"/>
        <v/>
      </c>
      <c r="E160" s="17" t="str">
        <f>IF(CopyTbl[[#This Row],[File Name]]="","",LEFT(CopyTbl[[#This Row],[File Name]],6))</f>
        <v/>
      </c>
      <c r="F160" s="1" t="str">
        <f>IFERROR(IF(FilesTbl[[#This Row],[Old Name]]="","",FilesTbl[[#This Row],[Old Name]]),"")</f>
        <v/>
      </c>
      <c r="G160" s="18" t="str">
        <f>IFERROR(IF(FilesTbl[[#This Row],[Extension]]="","",FilesTbl[[#This Row],[Extension]]),"")</f>
        <v/>
      </c>
      <c r="H160" t="str">
        <f>IFERROR(VLOOKUP(LEFT(CopyTbl[[#This Row],[File Name]],6),MS_Data_TBL[],2,FALSE),"")</f>
        <v/>
      </c>
    </row>
    <row r="161" spans="1:8" ht="45" customHeight="1" x14ac:dyDescent="0.3">
      <c r="A161" s="1" t="str">
        <f>IF(CopyTbl[[#This Row],[File Name]]="","",CopyTbl[[#This Row],[Source Path]]&amp;"\"&amp;CopyTbl[[#This Row],[File Name]]&amp;CopyTbl[[#This Row],[Extend]])</f>
        <v/>
      </c>
      <c r="B16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1" s="29" t="str">
        <f>IF(CopyTbl[[#This Row],[File Name]]="","",Rename!$B$3)</f>
        <v/>
      </c>
      <c r="D161" s="19" t="str">
        <f t="shared" ref="D161:D192" si="3">IF(C161="","",D160)</f>
        <v/>
      </c>
      <c r="E161" s="17" t="str">
        <f>IF(CopyTbl[[#This Row],[File Name]]="","",LEFT(CopyTbl[[#This Row],[File Name]],6))</f>
        <v/>
      </c>
      <c r="F161" s="1" t="str">
        <f>IFERROR(IF(FilesTbl[[#This Row],[Old Name]]="","",FilesTbl[[#This Row],[Old Name]]),"")</f>
        <v/>
      </c>
      <c r="G161" s="18" t="str">
        <f>IFERROR(IF(FilesTbl[[#This Row],[Extension]]="","",FilesTbl[[#This Row],[Extension]]),"")</f>
        <v/>
      </c>
      <c r="H161" t="str">
        <f>IFERROR(VLOOKUP(LEFT(CopyTbl[[#This Row],[File Name]],6),MS_Data_TBL[],2,FALSE),"")</f>
        <v/>
      </c>
    </row>
    <row r="162" spans="1:8" ht="45" customHeight="1" x14ac:dyDescent="0.3">
      <c r="A162" s="1" t="str">
        <f>IF(CopyTbl[[#This Row],[File Name]]="","",CopyTbl[[#This Row],[Source Path]]&amp;"\"&amp;CopyTbl[[#This Row],[File Name]]&amp;CopyTbl[[#This Row],[Extend]])</f>
        <v/>
      </c>
      <c r="B16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2" s="29" t="str">
        <f>IF(CopyTbl[[#This Row],[File Name]]="","",Rename!$B$3)</f>
        <v/>
      </c>
      <c r="D162" s="19" t="str">
        <f t="shared" si="3"/>
        <v/>
      </c>
      <c r="E162" s="17" t="str">
        <f>IF(CopyTbl[[#This Row],[File Name]]="","",LEFT(CopyTbl[[#This Row],[File Name]],6))</f>
        <v/>
      </c>
      <c r="F162" s="1" t="str">
        <f>IFERROR(IF(FilesTbl[[#This Row],[Old Name]]="","",FilesTbl[[#This Row],[Old Name]]),"")</f>
        <v/>
      </c>
      <c r="G162" s="18" t="str">
        <f>IFERROR(IF(FilesTbl[[#This Row],[Extension]]="","",FilesTbl[[#This Row],[Extension]]),"")</f>
        <v/>
      </c>
      <c r="H162" t="str">
        <f>IFERROR(VLOOKUP(LEFT(CopyTbl[[#This Row],[File Name]],6),MS_Data_TBL[],2,FALSE),"")</f>
        <v/>
      </c>
    </row>
    <row r="163" spans="1:8" ht="45" customHeight="1" x14ac:dyDescent="0.3">
      <c r="A163" s="1" t="str">
        <f>IF(CopyTbl[[#This Row],[File Name]]="","",CopyTbl[[#This Row],[Source Path]]&amp;"\"&amp;CopyTbl[[#This Row],[File Name]]&amp;CopyTbl[[#This Row],[Extend]])</f>
        <v/>
      </c>
      <c r="B16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3" s="29" t="str">
        <f>IF(CopyTbl[[#This Row],[File Name]]="","",Rename!$B$3)</f>
        <v/>
      </c>
      <c r="D163" s="19" t="str">
        <f t="shared" si="3"/>
        <v/>
      </c>
      <c r="E163" s="17" t="str">
        <f>IF(CopyTbl[[#This Row],[File Name]]="","",LEFT(CopyTbl[[#This Row],[File Name]],6))</f>
        <v/>
      </c>
      <c r="F163" s="1" t="str">
        <f>IFERROR(IF(FilesTbl[[#This Row],[Old Name]]="","",FilesTbl[[#This Row],[Old Name]]),"")</f>
        <v/>
      </c>
      <c r="G163" s="18" t="str">
        <f>IFERROR(IF(FilesTbl[[#This Row],[Extension]]="","",FilesTbl[[#This Row],[Extension]]),"")</f>
        <v/>
      </c>
      <c r="H163" t="str">
        <f>IFERROR(VLOOKUP(LEFT(CopyTbl[[#This Row],[File Name]],6),MS_Data_TBL[],2,FALSE),"")</f>
        <v/>
      </c>
    </row>
    <row r="164" spans="1:8" ht="45" customHeight="1" x14ac:dyDescent="0.3">
      <c r="A164" s="1" t="str">
        <f>IF(CopyTbl[[#This Row],[File Name]]="","",CopyTbl[[#This Row],[Source Path]]&amp;"\"&amp;CopyTbl[[#This Row],[File Name]]&amp;CopyTbl[[#This Row],[Extend]])</f>
        <v/>
      </c>
      <c r="B16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4" s="29" t="str">
        <f>IF(CopyTbl[[#This Row],[File Name]]="","",Rename!$B$3)</f>
        <v/>
      </c>
      <c r="D164" s="19" t="str">
        <f t="shared" si="3"/>
        <v/>
      </c>
      <c r="E164" s="17" t="str">
        <f>IF(CopyTbl[[#This Row],[File Name]]="","",LEFT(CopyTbl[[#This Row],[File Name]],6))</f>
        <v/>
      </c>
      <c r="F164" s="1" t="str">
        <f>IFERROR(IF(FilesTbl[[#This Row],[Old Name]]="","",FilesTbl[[#This Row],[Old Name]]),"")</f>
        <v/>
      </c>
      <c r="G164" s="18" t="str">
        <f>IFERROR(IF(FilesTbl[[#This Row],[Extension]]="","",FilesTbl[[#This Row],[Extension]]),"")</f>
        <v/>
      </c>
      <c r="H164" t="str">
        <f>IFERROR(VLOOKUP(LEFT(CopyTbl[[#This Row],[File Name]],6),MS_Data_TBL[],2,FALSE),"")</f>
        <v/>
      </c>
    </row>
    <row r="165" spans="1:8" ht="45" customHeight="1" x14ac:dyDescent="0.3">
      <c r="A165" s="1" t="str">
        <f>IF(CopyTbl[[#This Row],[File Name]]="","",CopyTbl[[#This Row],[Source Path]]&amp;"\"&amp;CopyTbl[[#This Row],[File Name]]&amp;CopyTbl[[#This Row],[Extend]])</f>
        <v/>
      </c>
      <c r="B16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5" s="29" t="str">
        <f>IF(CopyTbl[[#This Row],[File Name]]="","",Rename!$B$3)</f>
        <v/>
      </c>
      <c r="D165" s="19" t="str">
        <f t="shared" si="3"/>
        <v/>
      </c>
      <c r="E165" s="17" t="str">
        <f>IF(CopyTbl[[#This Row],[File Name]]="","",LEFT(CopyTbl[[#This Row],[File Name]],6))</f>
        <v/>
      </c>
      <c r="F165" s="1" t="str">
        <f>IFERROR(IF(FilesTbl[[#This Row],[Old Name]]="","",FilesTbl[[#This Row],[Old Name]]),"")</f>
        <v/>
      </c>
      <c r="G165" s="18" t="str">
        <f>IFERROR(IF(FilesTbl[[#This Row],[Extension]]="","",FilesTbl[[#This Row],[Extension]]),"")</f>
        <v/>
      </c>
      <c r="H165" t="str">
        <f>IFERROR(VLOOKUP(LEFT(CopyTbl[[#This Row],[File Name]],6),MS_Data_TBL[],2,FALSE),"")</f>
        <v/>
      </c>
    </row>
    <row r="166" spans="1:8" ht="45" customHeight="1" x14ac:dyDescent="0.3">
      <c r="A166" s="1" t="str">
        <f>IF(CopyTbl[[#This Row],[File Name]]="","",CopyTbl[[#This Row],[Source Path]]&amp;"\"&amp;CopyTbl[[#This Row],[File Name]]&amp;CopyTbl[[#This Row],[Extend]])</f>
        <v/>
      </c>
      <c r="B16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6" s="29" t="str">
        <f>IF(CopyTbl[[#This Row],[File Name]]="","",Rename!$B$3)</f>
        <v/>
      </c>
      <c r="D166" s="19" t="str">
        <f t="shared" si="3"/>
        <v/>
      </c>
      <c r="E166" s="17" t="str">
        <f>IF(CopyTbl[[#This Row],[File Name]]="","",LEFT(CopyTbl[[#This Row],[File Name]],6))</f>
        <v/>
      </c>
      <c r="F166" s="1" t="str">
        <f>IFERROR(IF(FilesTbl[[#This Row],[Old Name]]="","",FilesTbl[[#This Row],[Old Name]]),"")</f>
        <v/>
      </c>
      <c r="G166" s="18" t="str">
        <f>IFERROR(IF(FilesTbl[[#This Row],[Extension]]="","",FilesTbl[[#This Row],[Extension]]),"")</f>
        <v/>
      </c>
      <c r="H166" t="str">
        <f>IFERROR(VLOOKUP(LEFT(CopyTbl[[#This Row],[File Name]],6),MS_Data_TBL[],2,FALSE),"")</f>
        <v/>
      </c>
    </row>
    <row r="167" spans="1:8" ht="45" customHeight="1" x14ac:dyDescent="0.3">
      <c r="A167" s="1" t="str">
        <f>IF(CopyTbl[[#This Row],[File Name]]="","",CopyTbl[[#This Row],[Source Path]]&amp;"\"&amp;CopyTbl[[#This Row],[File Name]]&amp;CopyTbl[[#This Row],[Extend]])</f>
        <v/>
      </c>
      <c r="B16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7" s="29" t="str">
        <f>IF(CopyTbl[[#This Row],[File Name]]="","",Rename!$B$3)</f>
        <v/>
      </c>
      <c r="D167" s="19" t="str">
        <f t="shared" si="3"/>
        <v/>
      </c>
      <c r="E167" s="17" t="str">
        <f>IF(CopyTbl[[#This Row],[File Name]]="","",LEFT(CopyTbl[[#This Row],[File Name]],6))</f>
        <v/>
      </c>
      <c r="F167" s="1" t="str">
        <f>IFERROR(IF(FilesTbl[[#This Row],[Old Name]]="","",FilesTbl[[#This Row],[Old Name]]),"")</f>
        <v/>
      </c>
      <c r="G167" s="18" t="str">
        <f>IFERROR(IF(FilesTbl[[#This Row],[Extension]]="","",FilesTbl[[#This Row],[Extension]]),"")</f>
        <v/>
      </c>
      <c r="H167" t="str">
        <f>IFERROR(VLOOKUP(LEFT(CopyTbl[[#This Row],[File Name]],6),MS_Data_TBL[],2,FALSE),"")</f>
        <v/>
      </c>
    </row>
    <row r="168" spans="1:8" ht="45" customHeight="1" x14ac:dyDescent="0.3">
      <c r="A168" s="1" t="str">
        <f>IF(CopyTbl[[#This Row],[File Name]]="","",CopyTbl[[#This Row],[Source Path]]&amp;"\"&amp;CopyTbl[[#This Row],[File Name]]&amp;CopyTbl[[#This Row],[Extend]])</f>
        <v/>
      </c>
      <c r="B16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8" s="29" t="str">
        <f>IF(CopyTbl[[#This Row],[File Name]]="","",Rename!$B$3)</f>
        <v/>
      </c>
      <c r="D168" s="19" t="str">
        <f t="shared" si="3"/>
        <v/>
      </c>
      <c r="E168" s="17" t="str">
        <f>IF(CopyTbl[[#This Row],[File Name]]="","",LEFT(CopyTbl[[#This Row],[File Name]],6))</f>
        <v/>
      </c>
      <c r="F168" s="1" t="str">
        <f>IFERROR(IF(FilesTbl[[#This Row],[Old Name]]="","",FilesTbl[[#This Row],[Old Name]]),"")</f>
        <v/>
      </c>
      <c r="G168" s="18" t="str">
        <f>IFERROR(IF(FilesTbl[[#This Row],[Extension]]="","",FilesTbl[[#This Row],[Extension]]),"")</f>
        <v/>
      </c>
      <c r="H168" t="str">
        <f>IFERROR(VLOOKUP(LEFT(CopyTbl[[#This Row],[File Name]],6),MS_Data_TBL[],2,FALSE),"")</f>
        <v/>
      </c>
    </row>
    <row r="169" spans="1:8" ht="45" customHeight="1" x14ac:dyDescent="0.3">
      <c r="A169" s="1" t="str">
        <f>IF(CopyTbl[[#This Row],[File Name]]="","",CopyTbl[[#This Row],[Source Path]]&amp;"\"&amp;CopyTbl[[#This Row],[File Name]]&amp;CopyTbl[[#This Row],[Extend]])</f>
        <v/>
      </c>
      <c r="B16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69" s="29" t="str">
        <f>IF(CopyTbl[[#This Row],[File Name]]="","",Rename!$B$3)</f>
        <v/>
      </c>
      <c r="D169" s="19" t="str">
        <f t="shared" si="3"/>
        <v/>
      </c>
      <c r="E169" s="17" t="str">
        <f>IF(CopyTbl[[#This Row],[File Name]]="","",LEFT(CopyTbl[[#This Row],[File Name]],6))</f>
        <v/>
      </c>
      <c r="F169" s="1" t="str">
        <f>IFERROR(IF(FilesTbl[[#This Row],[Old Name]]="","",FilesTbl[[#This Row],[Old Name]]),"")</f>
        <v/>
      </c>
      <c r="G169" s="18" t="str">
        <f>IFERROR(IF(FilesTbl[[#This Row],[Extension]]="","",FilesTbl[[#This Row],[Extension]]),"")</f>
        <v/>
      </c>
      <c r="H169" t="str">
        <f>IFERROR(VLOOKUP(LEFT(CopyTbl[[#This Row],[File Name]],6),MS_Data_TBL[],2,FALSE),"")</f>
        <v/>
      </c>
    </row>
    <row r="170" spans="1:8" ht="45" customHeight="1" x14ac:dyDescent="0.3">
      <c r="A170" s="1" t="str">
        <f>IF(CopyTbl[[#This Row],[File Name]]="","",CopyTbl[[#This Row],[Source Path]]&amp;"\"&amp;CopyTbl[[#This Row],[File Name]]&amp;CopyTbl[[#This Row],[Extend]])</f>
        <v/>
      </c>
      <c r="B17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0" s="29" t="str">
        <f>IF(CopyTbl[[#This Row],[File Name]]="","",Rename!$B$3)</f>
        <v/>
      </c>
      <c r="D170" s="19" t="str">
        <f t="shared" si="3"/>
        <v/>
      </c>
      <c r="E170" s="17" t="str">
        <f>IF(CopyTbl[[#This Row],[File Name]]="","",LEFT(CopyTbl[[#This Row],[File Name]],6))</f>
        <v/>
      </c>
      <c r="F170" s="1" t="str">
        <f>IFERROR(IF(FilesTbl[[#This Row],[Old Name]]="","",FilesTbl[[#This Row],[Old Name]]),"")</f>
        <v/>
      </c>
      <c r="G170" s="18" t="str">
        <f>IFERROR(IF(FilesTbl[[#This Row],[Extension]]="","",FilesTbl[[#This Row],[Extension]]),"")</f>
        <v/>
      </c>
      <c r="H170" t="str">
        <f>IFERROR(VLOOKUP(LEFT(CopyTbl[[#This Row],[File Name]],6),MS_Data_TBL[],2,FALSE),"")</f>
        <v/>
      </c>
    </row>
    <row r="171" spans="1:8" ht="45" customHeight="1" x14ac:dyDescent="0.3">
      <c r="A171" s="1" t="str">
        <f>IF(CopyTbl[[#This Row],[File Name]]="","",CopyTbl[[#This Row],[Source Path]]&amp;"\"&amp;CopyTbl[[#This Row],[File Name]]&amp;CopyTbl[[#This Row],[Extend]])</f>
        <v/>
      </c>
      <c r="B17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1" s="29" t="str">
        <f>IF(CopyTbl[[#This Row],[File Name]]="","",Rename!$B$3)</f>
        <v/>
      </c>
      <c r="D171" s="19" t="str">
        <f t="shared" si="3"/>
        <v/>
      </c>
      <c r="E171" s="17" t="str">
        <f>IF(CopyTbl[[#This Row],[File Name]]="","",LEFT(CopyTbl[[#This Row],[File Name]],6))</f>
        <v/>
      </c>
      <c r="F171" s="1" t="str">
        <f>IFERROR(IF(FilesTbl[[#This Row],[Old Name]]="","",FilesTbl[[#This Row],[Old Name]]),"")</f>
        <v/>
      </c>
      <c r="G171" s="18" t="str">
        <f>IFERROR(IF(FilesTbl[[#This Row],[Extension]]="","",FilesTbl[[#This Row],[Extension]]),"")</f>
        <v/>
      </c>
      <c r="H171" t="str">
        <f>IFERROR(VLOOKUP(LEFT(CopyTbl[[#This Row],[File Name]],6),MS_Data_TBL[],2,FALSE),"")</f>
        <v/>
      </c>
    </row>
    <row r="172" spans="1:8" ht="45" customHeight="1" x14ac:dyDescent="0.3">
      <c r="A172" s="1" t="str">
        <f>IF(CopyTbl[[#This Row],[File Name]]="","",CopyTbl[[#This Row],[Source Path]]&amp;"\"&amp;CopyTbl[[#This Row],[File Name]]&amp;CopyTbl[[#This Row],[Extend]])</f>
        <v/>
      </c>
      <c r="B17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2" s="29" t="str">
        <f>IF(CopyTbl[[#This Row],[File Name]]="","",Rename!$B$3)</f>
        <v/>
      </c>
      <c r="D172" s="19" t="str">
        <f t="shared" si="3"/>
        <v/>
      </c>
      <c r="E172" s="17" t="str">
        <f>IF(CopyTbl[[#This Row],[File Name]]="","",LEFT(CopyTbl[[#This Row],[File Name]],6))</f>
        <v/>
      </c>
      <c r="F172" s="1" t="str">
        <f>IFERROR(IF(FilesTbl[[#This Row],[Old Name]]="","",FilesTbl[[#This Row],[Old Name]]),"")</f>
        <v/>
      </c>
      <c r="G172" s="18" t="str">
        <f>IFERROR(IF(FilesTbl[[#This Row],[Extension]]="","",FilesTbl[[#This Row],[Extension]]),"")</f>
        <v/>
      </c>
      <c r="H172" t="str">
        <f>IFERROR(VLOOKUP(LEFT(CopyTbl[[#This Row],[File Name]],6),MS_Data_TBL[],2,FALSE),"")</f>
        <v/>
      </c>
    </row>
    <row r="173" spans="1:8" ht="45" customHeight="1" x14ac:dyDescent="0.3">
      <c r="A173" s="1" t="str">
        <f>IF(CopyTbl[[#This Row],[File Name]]="","",CopyTbl[[#This Row],[Source Path]]&amp;"\"&amp;CopyTbl[[#This Row],[File Name]]&amp;CopyTbl[[#This Row],[Extend]])</f>
        <v/>
      </c>
      <c r="B17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3" s="29" t="str">
        <f>IF(CopyTbl[[#This Row],[File Name]]="","",Rename!$B$3)</f>
        <v/>
      </c>
      <c r="D173" s="19" t="str">
        <f t="shared" si="3"/>
        <v/>
      </c>
      <c r="E173" s="17" t="str">
        <f>IF(CopyTbl[[#This Row],[File Name]]="","",LEFT(CopyTbl[[#This Row],[File Name]],6))</f>
        <v/>
      </c>
      <c r="F173" s="1" t="str">
        <f>IFERROR(IF(FilesTbl[[#This Row],[Old Name]]="","",FilesTbl[[#This Row],[Old Name]]),"")</f>
        <v/>
      </c>
      <c r="G173" s="18" t="str">
        <f>IFERROR(IF(FilesTbl[[#This Row],[Extension]]="","",FilesTbl[[#This Row],[Extension]]),"")</f>
        <v/>
      </c>
      <c r="H173" t="str">
        <f>IFERROR(VLOOKUP(LEFT(CopyTbl[[#This Row],[File Name]],6),MS_Data_TBL[],2,FALSE),"")</f>
        <v/>
      </c>
    </row>
    <row r="174" spans="1:8" ht="45" customHeight="1" x14ac:dyDescent="0.3">
      <c r="A174" s="1" t="str">
        <f>IF(CopyTbl[[#This Row],[File Name]]="","",CopyTbl[[#This Row],[Source Path]]&amp;"\"&amp;CopyTbl[[#This Row],[File Name]]&amp;CopyTbl[[#This Row],[Extend]])</f>
        <v/>
      </c>
      <c r="B17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4" s="29" t="str">
        <f>IF(CopyTbl[[#This Row],[File Name]]="","",Rename!$B$3)</f>
        <v/>
      </c>
      <c r="D174" s="19" t="str">
        <f t="shared" si="3"/>
        <v/>
      </c>
      <c r="E174" s="17" t="str">
        <f>IF(CopyTbl[[#This Row],[File Name]]="","",LEFT(CopyTbl[[#This Row],[File Name]],6))</f>
        <v/>
      </c>
      <c r="F174" s="1" t="str">
        <f>IFERROR(IF(FilesTbl[[#This Row],[Old Name]]="","",FilesTbl[[#This Row],[Old Name]]),"")</f>
        <v/>
      </c>
      <c r="G174" s="18" t="str">
        <f>IFERROR(IF(FilesTbl[[#This Row],[Extension]]="","",FilesTbl[[#This Row],[Extension]]),"")</f>
        <v/>
      </c>
      <c r="H174" t="str">
        <f>IFERROR(VLOOKUP(LEFT(CopyTbl[[#This Row],[File Name]],6),MS_Data_TBL[],2,FALSE),"")</f>
        <v/>
      </c>
    </row>
    <row r="175" spans="1:8" ht="45" customHeight="1" x14ac:dyDescent="0.3">
      <c r="A175" s="1" t="str">
        <f>IF(CopyTbl[[#This Row],[File Name]]="","",CopyTbl[[#This Row],[Source Path]]&amp;"\"&amp;CopyTbl[[#This Row],[File Name]]&amp;CopyTbl[[#This Row],[Extend]])</f>
        <v/>
      </c>
      <c r="B17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5" s="29" t="str">
        <f>IF(CopyTbl[[#This Row],[File Name]]="","",Rename!$B$3)</f>
        <v/>
      </c>
      <c r="D175" s="19" t="str">
        <f t="shared" si="3"/>
        <v/>
      </c>
      <c r="E175" s="17" t="str">
        <f>IF(CopyTbl[[#This Row],[File Name]]="","",LEFT(CopyTbl[[#This Row],[File Name]],6))</f>
        <v/>
      </c>
      <c r="F175" s="1" t="str">
        <f>IFERROR(IF(FilesTbl[[#This Row],[Old Name]]="","",FilesTbl[[#This Row],[Old Name]]),"")</f>
        <v/>
      </c>
      <c r="G175" s="18" t="str">
        <f>IFERROR(IF(FilesTbl[[#This Row],[Extension]]="","",FilesTbl[[#This Row],[Extension]]),"")</f>
        <v/>
      </c>
      <c r="H175" t="str">
        <f>IFERROR(VLOOKUP(LEFT(CopyTbl[[#This Row],[File Name]],6),MS_Data_TBL[],2,FALSE),"")</f>
        <v/>
      </c>
    </row>
    <row r="176" spans="1:8" ht="45" customHeight="1" x14ac:dyDescent="0.3">
      <c r="A176" s="1" t="str">
        <f>IF(CopyTbl[[#This Row],[File Name]]="","",CopyTbl[[#This Row],[Source Path]]&amp;"\"&amp;CopyTbl[[#This Row],[File Name]]&amp;CopyTbl[[#This Row],[Extend]])</f>
        <v/>
      </c>
      <c r="B17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6" s="29" t="str">
        <f>IF(CopyTbl[[#This Row],[File Name]]="","",Rename!$B$3)</f>
        <v/>
      </c>
      <c r="D176" s="19" t="str">
        <f t="shared" si="3"/>
        <v/>
      </c>
      <c r="E176" s="17" t="str">
        <f>IF(CopyTbl[[#This Row],[File Name]]="","",LEFT(CopyTbl[[#This Row],[File Name]],6))</f>
        <v/>
      </c>
      <c r="F176" s="1" t="str">
        <f>IFERROR(IF(FilesTbl[[#This Row],[Old Name]]="","",FilesTbl[[#This Row],[Old Name]]),"")</f>
        <v/>
      </c>
      <c r="G176" s="18" t="str">
        <f>IFERROR(IF(FilesTbl[[#This Row],[Extension]]="","",FilesTbl[[#This Row],[Extension]]),"")</f>
        <v/>
      </c>
      <c r="H176" t="str">
        <f>IFERROR(VLOOKUP(LEFT(CopyTbl[[#This Row],[File Name]],6),MS_Data_TBL[],2,FALSE),"")</f>
        <v/>
      </c>
    </row>
    <row r="177" spans="1:8" ht="45" customHeight="1" x14ac:dyDescent="0.3">
      <c r="A177" s="1" t="str">
        <f>IF(CopyTbl[[#This Row],[File Name]]="","",CopyTbl[[#This Row],[Source Path]]&amp;"\"&amp;CopyTbl[[#This Row],[File Name]]&amp;CopyTbl[[#This Row],[Extend]])</f>
        <v/>
      </c>
      <c r="B17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7" s="29" t="str">
        <f>IF(CopyTbl[[#This Row],[File Name]]="","",Rename!$B$3)</f>
        <v/>
      </c>
      <c r="D177" s="19" t="str">
        <f t="shared" si="3"/>
        <v/>
      </c>
      <c r="E177" s="17" t="str">
        <f>IF(CopyTbl[[#This Row],[File Name]]="","",LEFT(CopyTbl[[#This Row],[File Name]],6))</f>
        <v/>
      </c>
      <c r="F177" s="1" t="str">
        <f>IFERROR(IF(FilesTbl[[#This Row],[Old Name]]="","",FilesTbl[[#This Row],[Old Name]]),"")</f>
        <v/>
      </c>
      <c r="G177" s="18" t="str">
        <f>IFERROR(IF(FilesTbl[[#This Row],[Extension]]="","",FilesTbl[[#This Row],[Extension]]),"")</f>
        <v/>
      </c>
      <c r="H177" t="str">
        <f>IFERROR(VLOOKUP(LEFT(CopyTbl[[#This Row],[File Name]],6),MS_Data_TBL[],2,FALSE),"")</f>
        <v/>
      </c>
    </row>
    <row r="178" spans="1:8" ht="45" customHeight="1" x14ac:dyDescent="0.3">
      <c r="A178" s="1" t="str">
        <f>IF(CopyTbl[[#This Row],[File Name]]="","",CopyTbl[[#This Row],[Source Path]]&amp;"\"&amp;CopyTbl[[#This Row],[File Name]]&amp;CopyTbl[[#This Row],[Extend]])</f>
        <v/>
      </c>
      <c r="B17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8" s="29" t="str">
        <f>IF(CopyTbl[[#This Row],[File Name]]="","",Rename!$B$3)</f>
        <v/>
      </c>
      <c r="D178" s="19" t="str">
        <f t="shared" si="3"/>
        <v/>
      </c>
      <c r="E178" s="17" t="str">
        <f>IF(CopyTbl[[#This Row],[File Name]]="","",LEFT(CopyTbl[[#This Row],[File Name]],6))</f>
        <v/>
      </c>
      <c r="F178" s="1" t="str">
        <f>IFERROR(IF(FilesTbl[[#This Row],[Old Name]]="","",FilesTbl[[#This Row],[Old Name]]),"")</f>
        <v/>
      </c>
      <c r="G178" s="18" t="str">
        <f>IFERROR(IF(FilesTbl[[#This Row],[Extension]]="","",FilesTbl[[#This Row],[Extension]]),"")</f>
        <v/>
      </c>
      <c r="H178" t="str">
        <f>IFERROR(VLOOKUP(LEFT(CopyTbl[[#This Row],[File Name]],6),MS_Data_TBL[],2,FALSE),"")</f>
        <v/>
      </c>
    </row>
    <row r="179" spans="1:8" ht="45" customHeight="1" x14ac:dyDescent="0.3">
      <c r="A179" s="1" t="str">
        <f>IF(CopyTbl[[#This Row],[File Name]]="","",CopyTbl[[#This Row],[Source Path]]&amp;"\"&amp;CopyTbl[[#This Row],[File Name]]&amp;CopyTbl[[#This Row],[Extend]])</f>
        <v/>
      </c>
      <c r="B17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79" s="29" t="str">
        <f>IF(CopyTbl[[#This Row],[File Name]]="","",Rename!$B$3)</f>
        <v/>
      </c>
      <c r="D179" s="19" t="str">
        <f t="shared" si="3"/>
        <v/>
      </c>
      <c r="E179" s="17" t="str">
        <f>IF(CopyTbl[[#This Row],[File Name]]="","",LEFT(CopyTbl[[#This Row],[File Name]],6))</f>
        <v/>
      </c>
      <c r="F179" s="1" t="str">
        <f>IFERROR(IF(FilesTbl[[#This Row],[Old Name]]="","",FilesTbl[[#This Row],[Old Name]]),"")</f>
        <v/>
      </c>
      <c r="G179" s="18" t="str">
        <f>IFERROR(IF(FilesTbl[[#This Row],[Extension]]="","",FilesTbl[[#This Row],[Extension]]),"")</f>
        <v/>
      </c>
      <c r="H179" t="str">
        <f>IFERROR(VLOOKUP(LEFT(CopyTbl[[#This Row],[File Name]],6),MS_Data_TBL[],2,FALSE),"")</f>
        <v/>
      </c>
    </row>
    <row r="180" spans="1:8" ht="45" customHeight="1" x14ac:dyDescent="0.3">
      <c r="A180" s="1" t="str">
        <f>IF(CopyTbl[[#This Row],[File Name]]="","",CopyTbl[[#This Row],[Source Path]]&amp;"\"&amp;CopyTbl[[#This Row],[File Name]]&amp;CopyTbl[[#This Row],[Extend]])</f>
        <v/>
      </c>
      <c r="B18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0" s="29" t="str">
        <f>IF(CopyTbl[[#This Row],[File Name]]="","",Rename!$B$3)</f>
        <v/>
      </c>
      <c r="D180" s="19" t="str">
        <f t="shared" si="3"/>
        <v/>
      </c>
      <c r="E180" s="17" t="str">
        <f>IF(CopyTbl[[#This Row],[File Name]]="","",LEFT(CopyTbl[[#This Row],[File Name]],6))</f>
        <v/>
      </c>
      <c r="F180" s="1" t="str">
        <f>IFERROR(IF(FilesTbl[[#This Row],[Old Name]]="","",FilesTbl[[#This Row],[Old Name]]),"")</f>
        <v/>
      </c>
      <c r="G180" s="18" t="str">
        <f>IFERROR(IF(FilesTbl[[#This Row],[Extension]]="","",FilesTbl[[#This Row],[Extension]]),"")</f>
        <v/>
      </c>
      <c r="H180" t="str">
        <f>IFERROR(VLOOKUP(LEFT(CopyTbl[[#This Row],[File Name]],6),MS_Data_TBL[],2,FALSE),"")</f>
        <v/>
      </c>
    </row>
    <row r="181" spans="1:8" ht="45" customHeight="1" x14ac:dyDescent="0.3">
      <c r="A181" s="1" t="str">
        <f>IF(CopyTbl[[#This Row],[File Name]]="","",CopyTbl[[#This Row],[Source Path]]&amp;"\"&amp;CopyTbl[[#This Row],[File Name]]&amp;CopyTbl[[#This Row],[Extend]])</f>
        <v/>
      </c>
      <c r="B18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1" s="29" t="str">
        <f>IF(CopyTbl[[#This Row],[File Name]]="","",Rename!$B$3)</f>
        <v/>
      </c>
      <c r="D181" s="19" t="str">
        <f t="shared" si="3"/>
        <v/>
      </c>
      <c r="E181" s="17" t="str">
        <f>IF(CopyTbl[[#This Row],[File Name]]="","",LEFT(CopyTbl[[#This Row],[File Name]],6))</f>
        <v/>
      </c>
      <c r="F181" s="1" t="str">
        <f>IFERROR(IF(FilesTbl[[#This Row],[Old Name]]="","",FilesTbl[[#This Row],[Old Name]]),"")</f>
        <v/>
      </c>
      <c r="G181" s="18" t="str">
        <f>IFERROR(IF(FilesTbl[[#This Row],[Extension]]="","",FilesTbl[[#This Row],[Extension]]),"")</f>
        <v/>
      </c>
      <c r="H181" t="str">
        <f>IFERROR(VLOOKUP(LEFT(CopyTbl[[#This Row],[File Name]],6),MS_Data_TBL[],2,FALSE),"")</f>
        <v/>
      </c>
    </row>
    <row r="182" spans="1:8" ht="45" customHeight="1" x14ac:dyDescent="0.3">
      <c r="A182" s="1" t="str">
        <f>IF(CopyTbl[[#This Row],[File Name]]="","",CopyTbl[[#This Row],[Source Path]]&amp;"\"&amp;CopyTbl[[#This Row],[File Name]]&amp;CopyTbl[[#This Row],[Extend]])</f>
        <v/>
      </c>
      <c r="B18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2" s="29" t="str">
        <f>IF(CopyTbl[[#This Row],[File Name]]="","",Rename!$B$3)</f>
        <v/>
      </c>
      <c r="D182" s="19" t="str">
        <f t="shared" si="3"/>
        <v/>
      </c>
      <c r="E182" s="17" t="str">
        <f>IF(CopyTbl[[#This Row],[File Name]]="","",LEFT(CopyTbl[[#This Row],[File Name]],6))</f>
        <v/>
      </c>
      <c r="F182" s="1" t="str">
        <f>IFERROR(IF(FilesTbl[[#This Row],[Old Name]]="","",FilesTbl[[#This Row],[Old Name]]),"")</f>
        <v/>
      </c>
      <c r="G182" s="18" t="str">
        <f>IFERROR(IF(FilesTbl[[#This Row],[Extension]]="","",FilesTbl[[#This Row],[Extension]]),"")</f>
        <v/>
      </c>
      <c r="H182" t="str">
        <f>IFERROR(VLOOKUP(LEFT(CopyTbl[[#This Row],[File Name]],6),MS_Data_TBL[],2,FALSE),"")</f>
        <v/>
      </c>
    </row>
    <row r="183" spans="1:8" ht="45" customHeight="1" x14ac:dyDescent="0.3">
      <c r="A183" s="1" t="str">
        <f>IF(CopyTbl[[#This Row],[File Name]]="","",CopyTbl[[#This Row],[Source Path]]&amp;"\"&amp;CopyTbl[[#This Row],[File Name]]&amp;CopyTbl[[#This Row],[Extend]])</f>
        <v/>
      </c>
      <c r="B18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3" s="29" t="str">
        <f>IF(CopyTbl[[#This Row],[File Name]]="","",Rename!$B$3)</f>
        <v/>
      </c>
      <c r="D183" s="19" t="str">
        <f t="shared" si="3"/>
        <v/>
      </c>
      <c r="E183" s="17" t="str">
        <f>IF(CopyTbl[[#This Row],[File Name]]="","",LEFT(CopyTbl[[#This Row],[File Name]],6))</f>
        <v/>
      </c>
      <c r="F183" s="1" t="str">
        <f>IFERROR(IF(FilesTbl[[#This Row],[Old Name]]="","",FilesTbl[[#This Row],[Old Name]]),"")</f>
        <v/>
      </c>
      <c r="G183" s="18" t="str">
        <f>IFERROR(IF(FilesTbl[[#This Row],[Extension]]="","",FilesTbl[[#This Row],[Extension]]),"")</f>
        <v/>
      </c>
      <c r="H183" t="str">
        <f>IFERROR(VLOOKUP(LEFT(CopyTbl[[#This Row],[File Name]],6),MS_Data_TBL[],2,FALSE),"")</f>
        <v/>
      </c>
    </row>
    <row r="184" spans="1:8" ht="45" customHeight="1" x14ac:dyDescent="0.3">
      <c r="A184" s="1" t="str">
        <f>IF(CopyTbl[[#This Row],[File Name]]="","",CopyTbl[[#This Row],[Source Path]]&amp;"\"&amp;CopyTbl[[#This Row],[File Name]]&amp;CopyTbl[[#This Row],[Extend]])</f>
        <v/>
      </c>
      <c r="B18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4" s="29" t="str">
        <f>IF(CopyTbl[[#This Row],[File Name]]="","",Rename!$B$3)</f>
        <v/>
      </c>
      <c r="D184" s="19" t="str">
        <f t="shared" si="3"/>
        <v/>
      </c>
      <c r="E184" s="17" t="str">
        <f>IF(CopyTbl[[#This Row],[File Name]]="","",LEFT(CopyTbl[[#This Row],[File Name]],6))</f>
        <v/>
      </c>
      <c r="F184" s="1" t="str">
        <f>IFERROR(IF(FilesTbl[[#This Row],[Old Name]]="","",FilesTbl[[#This Row],[Old Name]]),"")</f>
        <v/>
      </c>
      <c r="G184" s="18" t="str">
        <f>IFERROR(IF(FilesTbl[[#This Row],[Extension]]="","",FilesTbl[[#This Row],[Extension]]),"")</f>
        <v/>
      </c>
      <c r="H184" t="str">
        <f>IFERROR(VLOOKUP(LEFT(CopyTbl[[#This Row],[File Name]],6),MS_Data_TBL[],2,FALSE),"")</f>
        <v/>
      </c>
    </row>
    <row r="185" spans="1:8" ht="45" customHeight="1" x14ac:dyDescent="0.3">
      <c r="A185" s="1" t="str">
        <f>IF(CopyTbl[[#This Row],[File Name]]="","",CopyTbl[[#This Row],[Source Path]]&amp;"\"&amp;CopyTbl[[#This Row],[File Name]]&amp;CopyTbl[[#This Row],[Extend]])</f>
        <v/>
      </c>
      <c r="B18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5" s="29" t="str">
        <f>IF(CopyTbl[[#This Row],[File Name]]="","",Rename!$B$3)</f>
        <v/>
      </c>
      <c r="D185" s="19" t="str">
        <f t="shared" si="3"/>
        <v/>
      </c>
      <c r="E185" s="17" t="str">
        <f>IF(CopyTbl[[#This Row],[File Name]]="","",LEFT(CopyTbl[[#This Row],[File Name]],6))</f>
        <v/>
      </c>
      <c r="F185" s="1" t="str">
        <f>IFERROR(IF(FilesTbl[[#This Row],[Old Name]]="","",FilesTbl[[#This Row],[Old Name]]),"")</f>
        <v/>
      </c>
      <c r="G185" s="18" t="str">
        <f>IFERROR(IF(FilesTbl[[#This Row],[Extension]]="","",FilesTbl[[#This Row],[Extension]]),"")</f>
        <v/>
      </c>
      <c r="H185" t="str">
        <f>IFERROR(VLOOKUP(LEFT(CopyTbl[[#This Row],[File Name]],6),MS_Data_TBL[],2,FALSE),"")</f>
        <v/>
      </c>
    </row>
    <row r="186" spans="1:8" ht="45" customHeight="1" x14ac:dyDescent="0.3">
      <c r="A186" s="1" t="str">
        <f>IF(CopyTbl[[#This Row],[File Name]]="","",CopyTbl[[#This Row],[Source Path]]&amp;"\"&amp;CopyTbl[[#This Row],[File Name]]&amp;CopyTbl[[#This Row],[Extend]])</f>
        <v/>
      </c>
      <c r="B18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6" s="29" t="str">
        <f>IF(CopyTbl[[#This Row],[File Name]]="","",Rename!$B$3)</f>
        <v/>
      </c>
      <c r="D186" s="19" t="str">
        <f t="shared" si="3"/>
        <v/>
      </c>
      <c r="E186" s="17" t="str">
        <f>IF(CopyTbl[[#This Row],[File Name]]="","",LEFT(CopyTbl[[#This Row],[File Name]],6))</f>
        <v/>
      </c>
      <c r="F186" s="1" t="str">
        <f>IFERROR(IF(FilesTbl[[#This Row],[Old Name]]="","",FilesTbl[[#This Row],[Old Name]]),"")</f>
        <v/>
      </c>
      <c r="G186" s="18" t="str">
        <f>IFERROR(IF(FilesTbl[[#This Row],[Extension]]="","",FilesTbl[[#This Row],[Extension]]),"")</f>
        <v/>
      </c>
      <c r="H186" t="str">
        <f>IFERROR(VLOOKUP(LEFT(CopyTbl[[#This Row],[File Name]],6),MS_Data_TBL[],2,FALSE),"")</f>
        <v/>
      </c>
    </row>
    <row r="187" spans="1:8" ht="45" customHeight="1" x14ac:dyDescent="0.3">
      <c r="A187" s="1" t="str">
        <f>IF(CopyTbl[[#This Row],[File Name]]="","",CopyTbl[[#This Row],[Source Path]]&amp;"\"&amp;CopyTbl[[#This Row],[File Name]]&amp;CopyTbl[[#This Row],[Extend]])</f>
        <v/>
      </c>
      <c r="B18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7" s="29" t="str">
        <f>IF(CopyTbl[[#This Row],[File Name]]="","",Rename!$B$3)</f>
        <v/>
      </c>
      <c r="D187" s="19" t="str">
        <f t="shared" si="3"/>
        <v/>
      </c>
      <c r="E187" s="17" t="str">
        <f>IF(CopyTbl[[#This Row],[File Name]]="","",LEFT(CopyTbl[[#This Row],[File Name]],6))</f>
        <v/>
      </c>
      <c r="F187" s="1" t="str">
        <f>IFERROR(IF(FilesTbl[[#This Row],[Old Name]]="","",FilesTbl[[#This Row],[Old Name]]),"")</f>
        <v/>
      </c>
      <c r="G187" s="18" t="str">
        <f>IFERROR(IF(FilesTbl[[#This Row],[Extension]]="","",FilesTbl[[#This Row],[Extension]]),"")</f>
        <v/>
      </c>
      <c r="H187" t="str">
        <f>IFERROR(VLOOKUP(LEFT(CopyTbl[[#This Row],[File Name]],6),MS_Data_TBL[],2,FALSE),"")</f>
        <v/>
      </c>
    </row>
    <row r="188" spans="1:8" ht="45" customHeight="1" x14ac:dyDescent="0.3">
      <c r="A188" s="1" t="str">
        <f>IF(CopyTbl[[#This Row],[File Name]]="","",CopyTbl[[#This Row],[Source Path]]&amp;"\"&amp;CopyTbl[[#This Row],[File Name]]&amp;CopyTbl[[#This Row],[Extend]])</f>
        <v/>
      </c>
      <c r="B18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8" s="29" t="str">
        <f>IF(CopyTbl[[#This Row],[File Name]]="","",Rename!$B$3)</f>
        <v/>
      </c>
      <c r="D188" s="19" t="str">
        <f t="shared" si="3"/>
        <v/>
      </c>
      <c r="E188" s="17" t="str">
        <f>IF(CopyTbl[[#This Row],[File Name]]="","",LEFT(CopyTbl[[#This Row],[File Name]],6))</f>
        <v/>
      </c>
      <c r="F188" s="1" t="str">
        <f>IFERROR(IF(FilesTbl[[#This Row],[Old Name]]="","",FilesTbl[[#This Row],[Old Name]]),"")</f>
        <v/>
      </c>
      <c r="G188" s="18" t="str">
        <f>IFERROR(IF(FilesTbl[[#This Row],[Extension]]="","",FilesTbl[[#This Row],[Extension]]),"")</f>
        <v/>
      </c>
      <c r="H188" t="str">
        <f>IFERROR(VLOOKUP(LEFT(CopyTbl[[#This Row],[File Name]],6),MS_Data_TBL[],2,FALSE),"")</f>
        <v/>
      </c>
    </row>
    <row r="189" spans="1:8" ht="45" customHeight="1" x14ac:dyDescent="0.3">
      <c r="A189" s="1" t="str">
        <f>IF(CopyTbl[[#This Row],[File Name]]="","",CopyTbl[[#This Row],[Source Path]]&amp;"\"&amp;CopyTbl[[#This Row],[File Name]]&amp;CopyTbl[[#This Row],[Extend]])</f>
        <v/>
      </c>
      <c r="B18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89" s="29" t="str">
        <f>IF(CopyTbl[[#This Row],[File Name]]="","",Rename!$B$3)</f>
        <v/>
      </c>
      <c r="D189" s="19" t="str">
        <f t="shared" si="3"/>
        <v/>
      </c>
      <c r="E189" s="17" t="str">
        <f>IF(CopyTbl[[#This Row],[File Name]]="","",LEFT(CopyTbl[[#This Row],[File Name]],6))</f>
        <v/>
      </c>
      <c r="F189" s="1" t="str">
        <f>IFERROR(IF(FilesTbl[[#This Row],[Old Name]]="","",FilesTbl[[#This Row],[Old Name]]),"")</f>
        <v/>
      </c>
      <c r="G189" s="18" t="str">
        <f>IFERROR(IF(FilesTbl[[#This Row],[Extension]]="","",FilesTbl[[#This Row],[Extension]]),"")</f>
        <v/>
      </c>
      <c r="H189" t="str">
        <f>IFERROR(VLOOKUP(LEFT(CopyTbl[[#This Row],[File Name]],6),MS_Data_TBL[],2,FALSE),"")</f>
        <v/>
      </c>
    </row>
    <row r="190" spans="1:8" ht="45" customHeight="1" x14ac:dyDescent="0.3">
      <c r="A190" s="1" t="str">
        <f>IF(CopyTbl[[#This Row],[File Name]]="","",CopyTbl[[#This Row],[Source Path]]&amp;"\"&amp;CopyTbl[[#This Row],[File Name]]&amp;CopyTbl[[#This Row],[Extend]])</f>
        <v/>
      </c>
      <c r="B19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0" s="29" t="str">
        <f>IF(CopyTbl[[#This Row],[File Name]]="","",Rename!$B$3)</f>
        <v/>
      </c>
      <c r="D190" s="19" t="str">
        <f t="shared" si="3"/>
        <v/>
      </c>
      <c r="E190" s="17" t="str">
        <f>IF(CopyTbl[[#This Row],[File Name]]="","",LEFT(CopyTbl[[#This Row],[File Name]],6))</f>
        <v/>
      </c>
      <c r="F190" s="1" t="str">
        <f>IFERROR(IF(FilesTbl[[#This Row],[Old Name]]="","",FilesTbl[[#This Row],[Old Name]]),"")</f>
        <v/>
      </c>
      <c r="G190" s="18" t="str">
        <f>IFERROR(IF(FilesTbl[[#This Row],[Extension]]="","",FilesTbl[[#This Row],[Extension]]),"")</f>
        <v/>
      </c>
      <c r="H190" t="str">
        <f>IFERROR(VLOOKUP(LEFT(CopyTbl[[#This Row],[File Name]],6),MS_Data_TBL[],2,FALSE),"")</f>
        <v/>
      </c>
    </row>
    <row r="191" spans="1:8" ht="45" customHeight="1" x14ac:dyDescent="0.3">
      <c r="A191" s="1" t="str">
        <f>IF(CopyTbl[[#This Row],[File Name]]="","",CopyTbl[[#This Row],[Source Path]]&amp;"\"&amp;CopyTbl[[#This Row],[File Name]]&amp;CopyTbl[[#This Row],[Extend]])</f>
        <v/>
      </c>
      <c r="B19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1" s="29" t="str">
        <f>IF(CopyTbl[[#This Row],[File Name]]="","",Rename!$B$3)</f>
        <v/>
      </c>
      <c r="D191" s="19" t="str">
        <f t="shared" si="3"/>
        <v/>
      </c>
      <c r="E191" s="17" t="str">
        <f>IF(CopyTbl[[#This Row],[File Name]]="","",LEFT(CopyTbl[[#This Row],[File Name]],6))</f>
        <v/>
      </c>
      <c r="F191" s="1" t="str">
        <f>IFERROR(IF(FilesTbl[[#This Row],[Old Name]]="","",FilesTbl[[#This Row],[Old Name]]),"")</f>
        <v/>
      </c>
      <c r="G191" s="18" t="str">
        <f>IFERROR(IF(FilesTbl[[#This Row],[Extension]]="","",FilesTbl[[#This Row],[Extension]]),"")</f>
        <v/>
      </c>
      <c r="H191" t="str">
        <f>IFERROR(VLOOKUP(LEFT(CopyTbl[[#This Row],[File Name]],6),MS_Data_TBL[],2,FALSE),"")</f>
        <v/>
      </c>
    </row>
    <row r="192" spans="1:8" ht="45" customHeight="1" x14ac:dyDescent="0.3">
      <c r="A192" s="1" t="str">
        <f>IF(CopyTbl[[#This Row],[File Name]]="","",CopyTbl[[#This Row],[Source Path]]&amp;"\"&amp;CopyTbl[[#This Row],[File Name]]&amp;CopyTbl[[#This Row],[Extend]])</f>
        <v/>
      </c>
      <c r="B19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2" s="29" t="str">
        <f>IF(CopyTbl[[#This Row],[File Name]]="","",Rename!$B$3)</f>
        <v/>
      </c>
      <c r="D192" s="19" t="str">
        <f t="shared" si="3"/>
        <v/>
      </c>
      <c r="E192" s="17" t="str">
        <f>IF(CopyTbl[[#This Row],[File Name]]="","",LEFT(CopyTbl[[#This Row],[File Name]],6))</f>
        <v/>
      </c>
      <c r="F192" s="1" t="str">
        <f>IFERROR(IF(FilesTbl[[#This Row],[Old Name]]="","",FilesTbl[[#This Row],[Old Name]]),"")</f>
        <v/>
      </c>
      <c r="G192" s="18" t="str">
        <f>IFERROR(IF(FilesTbl[[#This Row],[Extension]]="","",FilesTbl[[#This Row],[Extension]]),"")</f>
        <v/>
      </c>
      <c r="H192" t="str">
        <f>IFERROR(VLOOKUP(LEFT(CopyTbl[[#This Row],[File Name]],6),MS_Data_TBL[],2,FALSE),"")</f>
        <v/>
      </c>
    </row>
    <row r="193" spans="1:8" ht="45" customHeight="1" x14ac:dyDescent="0.3">
      <c r="A193" s="1" t="str">
        <f>IF(CopyTbl[[#This Row],[File Name]]="","",CopyTbl[[#This Row],[Source Path]]&amp;"\"&amp;CopyTbl[[#This Row],[File Name]]&amp;CopyTbl[[#This Row],[Extend]])</f>
        <v/>
      </c>
      <c r="B19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3" s="29" t="str">
        <f>IF(CopyTbl[[#This Row],[File Name]]="","",Rename!$B$3)</f>
        <v/>
      </c>
      <c r="D193" s="19" t="str">
        <f t="shared" ref="D193:D217" si="4">IF(C193="","",D192)</f>
        <v/>
      </c>
      <c r="E193" s="17" t="str">
        <f>IF(CopyTbl[[#This Row],[File Name]]="","",LEFT(CopyTbl[[#This Row],[File Name]],6))</f>
        <v/>
      </c>
      <c r="F193" s="1" t="str">
        <f>IFERROR(IF(FilesTbl[[#This Row],[Old Name]]="","",FilesTbl[[#This Row],[Old Name]]),"")</f>
        <v/>
      </c>
      <c r="G193" s="18" t="str">
        <f>IFERROR(IF(FilesTbl[[#This Row],[Extension]]="","",FilesTbl[[#This Row],[Extension]]),"")</f>
        <v/>
      </c>
      <c r="H193" t="str">
        <f>IFERROR(VLOOKUP(LEFT(CopyTbl[[#This Row],[File Name]],6),MS_Data_TBL[],2,FALSE),"")</f>
        <v/>
      </c>
    </row>
    <row r="194" spans="1:8" ht="45" customHeight="1" x14ac:dyDescent="0.3">
      <c r="A194" s="1" t="str">
        <f>IF(CopyTbl[[#This Row],[File Name]]="","",CopyTbl[[#This Row],[Source Path]]&amp;"\"&amp;CopyTbl[[#This Row],[File Name]]&amp;CopyTbl[[#This Row],[Extend]])</f>
        <v/>
      </c>
      <c r="B19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4" s="29" t="str">
        <f>IF(CopyTbl[[#This Row],[File Name]]="","",Rename!$B$3)</f>
        <v/>
      </c>
      <c r="D194" s="19" t="str">
        <f t="shared" si="4"/>
        <v/>
      </c>
      <c r="E194" s="17" t="str">
        <f>IF(CopyTbl[[#This Row],[File Name]]="","",LEFT(CopyTbl[[#This Row],[File Name]],6))</f>
        <v/>
      </c>
      <c r="F194" s="1" t="str">
        <f>IFERROR(IF(FilesTbl[[#This Row],[Old Name]]="","",FilesTbl[[#This Row],[Old Name]]),"")</f>
        <v/>
      </c>
      <c r="G194" s="18" t="str">
        <f>IFERROR(IF(FilesTbl[[#This Row],[Extension]]="","",FilesTbl[[#This Row],[Extension]]),"")</f>
        <v/>
      </c>
      <c r="H194" t="str">
        <f>IFERROR(VLOOKUP(LEFT(CopyTbl[[#This Row],[File Name]],6),MS_Data_TBL[],2,FALSE),"")</f>
        <v/>
      </c>
    </row>
    <row r="195" spans="1:8" ht="45" customHeight="1" x14ac:dyDescent="0.3">
      <c r="A195" s="1" t="str">
        <f>IF(CopyTbl[[#This Row],[File Name]]="","",CopyTbl[[#This Row],[Source Path]]&amp;"\"&amp;CopyTbl[[#This Row],[File Name]]&amp;CopyTbl[[#This Row],[Extend]])</f>
        <v/>
      </c>
      <c r="B19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5" s="29" t="str">
        <f>IF(CopyTbl[[#This Row],[File Name]]="","",Rename!$B$3)</f>
        <v/>
      </c>
      <c r="D195" s="19" t="str">
        <f t="shared" si="4"/>
        <v/>
      </c>
      <c r="E195" s="17" t="str">
        <f>IF(CopyTbl[[#This Row],[File Name]]="","",LEFT(CopyTbl[[#This Row],[File Name]],6))</f>
        <v/>
      </c>
      <c r="F195" s="1" t="str">
        <f>IFERROR(IF(FilesTbl[[#This Row],[Old Name]]="","",FilesTbl[[#This Row],[Old Name]]),"")</f>
        <v/>
      </c>
      <c r="G195" s="18" t="str">
        <f>IFERROR(IF(FilesTbl[[#This Row],[Extension]]="","",FilesTbl[[#This Row],[Extension]]),"")</f>
        <v/>
      </c>
      <c r="H195" t="str">
        <f>IFERROR(VLOOKUP(LEFT(CopyTbl[[#This Row],[File Name]],6),MS_Data_TBL[],2,FALSE),"")</f>
        <v/>
      </c>
    </row>
    <row r="196" spans="1:8" ht="45" customHeight="1" x14ac:dyDescent="0.3">
      <c r="A196" s="1" t="str">
        <f>IF(CopyTbl[[#This Row],[File Name]]="","",CopyTbl[[#This Row],[Source Path]]&amp;"\"&amp;CopyTbl[[#This Row],[File Name]]&amp;CopyTbl[[#This Row],[Extend]])</f>
        <v/>
      </c>
      <c r="B19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6" s="29" t="str">
        <f>IF(CopyTbl[[#This Row],[File Name]]="","",Rename!$B$3)</f>
        <v/>
      </c>
      <c r="D196" s="19" t="str">
        <f t="shared" si="4"/>
        <v/>
      </c>
      <c r="E196" s="17" t="str">
        <f>IF(CopyTbl[[#This Row],[File Name]]="","",LEFT(CopyTbl[[#This Row],[File Name]],6))</f>
        <v/>
      </c>
      <c r="F196" s="1" t="str">
        <f>IFERROR(IF(FilesTbl[[#This Row],[Old Name]]="","",FilesTbl[[#This Row],[Old Name]]),"")</f>
        <v/>
      </c>
      <c r="G196" s="18" t="str">
        <f>IFERROR(IF(FilesTbl[[#This Row],[Extension]]="","",FilesTbl[[#This Row],[Extension]]),"")</f>
        <v/>
      </c>
      <c r="H196" t="str">
        <f>IFERROR(VLOOKUP(LEFT(CopyTbl[[#This Row],[File Name]],6),MS_Data_TBL[],2,FALSE),"")</f>
        <v/>
      </c>
    </row>
    <row r="197" spans="1:8" ht="45" customHeight="1" x14ac:dyDescent="0.3">
      <c r="A197" s="1" t="str">
        <f>IF(CopyTbl[[#This Row],[File Name]]="","",CopyTbl[[#This Row],[Source Path]]&amp;"\"&amp;CopyTbl[[#This Row],[File Name]]&amp;CopyTbl[[#This Row],[Extend]])</f>
        <v/>
      </c>
      <c r="B19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7" s="29" t="str">
        <f>IF(CopyTbl[[#This Row],[File Name]]="","",Rename!$B$3)</f>
        <v/>
      </c>
      <c r="D197" s="19" t="str">
        <f t="shared" si="4"/>
        <v/>
      </c>
      <c r="E197" s="17" t="str">
        <f>IF(CopyTbl[[#This Row],[File Name]]="","",LEFT(CopyTbl[[#This Row],[File Name]],6))</f>
        <v/>
      </c>
      <c r="F197" s="1" t="str">
        <f>IFERROR(IF(FilesTbl[[#This Row],[Old Name]]="","",FilesTbl[[#This Row],[Old Name]]),"")</f>
        <v/>
      </c>
      <c r="G197" s="18" t="str">
        <f>IFERROR(IF(FilesTbl[[#This Row],[Extension]]="","",FilesTbl[[#This Row],[Extension]]),"")</f>
        <v/>
      </c>
      <c r="H197" t="str">
        <f>IFERROR(VLOOKUP(LEFT(CopyTbl[[#This Row],[File Name]],6),MS_Data_TBL[],2,FALSE),"")</f>
        <v/>
      </c>
    </row>
    <row r="198" spans="1:8" ht="45" customHeight="1" x14ac:dyDescent="0.3">
      <c r="A198" s="1" t="str">
        <f>IF(CopyTbl[[#This Row],[File Name]]="","",CopyTbl[[#This Row],[Source Path]]&amp;"\"&amp;CopyTbl[[#This Row],[File Name]]&amp;CopyTbl[[#This Row],[Extend]])</f>
        <v/>
      </c>
      <c r="B19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8" s="29" t="str">
        <f>IF(CopyTbl[[#This Row],[File Name]]="","",Rename!$B$3)</f>
        <v/>
      </c>
      <c r="D198" s="19" t="str">
        <f t="shared" si="4"/>
        <v/>
      </c>
      <c r="E198" s="17" t="str">
        <f>IF(CopyTbl[[#This Row],[File Name]]="","",LEFT(CopyTbl[[#This Row],[File Name]],6))</f>
        <v/>
      </c>
      <c r="F198" s="1" t="str">
        <f>IFERROR(IF(FilesTbl[[#This Row],[Old Name]]="","",FilesTbl[[#This Row],[Old Name]]),"")</f>
        <v/>
      </c>
      <c r="G198" s="18" t="str">
        <f>IFERROR(IF(FilesTbl[[#This Row],[Extension]]="","",FilesTbl[[#This Row],[Extension]]),"")</f>
        <v/>
      </c>
      <c r="H198" t="str">
        <f>IFERROR(VLOOKUP(LEFT(CopyTbl[[#This Row],[File Name]],6),MS_Data_TBL[],2,FALSE),"")</f>
        <v/>
      </c>
    </row>
    <row r="199" spans="1:8" ht="45" customHeight="1" x14ac:dyDescent="0.3">
      <c r="A199" s="1" t="str">
        <f>IF(CopyTbl[[#This Row],[File Name]]="","",CopyTbl[[#This Row],[Source Path]]&amp;"\"&amp;CopyTbl[[#This Row],[File Name]]&amp;CopyTbl[[#This Row],[Extend]])</f>
        <v/>
      </c>
      <c r="B19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199" s="29" t="str">
        <f>IF(CopyTbl[[#This Row],[File Name]]="","",Rename!$B$3)</f>
        <v/>
      </c>
      <c r="D199" s="19" t="str">
        <f t="shared" si="4"/>
        <v/>
      </c>
      <c r="E199" s="17" t="str">
        <f>IF(CopyTbl[[#This Row],[File Name]]="","",LEFT(CopyTbl[[#This Row],[File Name]],6))</f>
        <v/>
      </c>
      <c r="F199" s="1" t="str">
        <f>IFERROR(IF(FilesTbl[[#This Row],[Old Name]]="","",FilesTbl[[#This Row],[Old Name]]),"")</f>
        <v/>
      </c>
      <c r="G199" s="18" t="str">
        <f>IFERROR(IF(FilesTbl[[#This Row],[Extension]]="","",FilesTbl[[#This Row],[Extension]]),"")</f>
        <v/>
      </c>
      <c r="H199" t="str">
        <f>IFERROR(VLOOKUP(LEFT(CopyTbl[[#This Row],[File Name]],6),MS_Data_TBL[],2,FALSE),"")</f>
        <v/>
      </c>
    </row>
    <row r="200" spans="1:8" ht="45" customHeight="1" x14ac:dyDescent="0.3">
      <c r="A200" s="1" t="str">
        <f>IF(CopyTbl[[#This Row],[File Name]]="","",CopyTbl[[#This Row],[Source Path]]&amp;"\"&amp;CopyTbl[[#This Row],[File Name]]&amp;CopyTbl[[#This Row],[Extend]])</f>
        <v/>
      </c>
      <c r="B20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0" s="29" t="str">
        <f>IF(CopyTbl[[#This Row],[File Name]]="","",Rename!$B$3)</f>
        <v/>
      </c>
      <c r="D200" s="19" t="str">
        <f t="shared" si="4"/>
        <v/>
      </c>
      <c r="E200" s="17" t="str">
        <f>IF(CopyTbl[[#This Row],[File Name]]="","",LEFT(CopyTbl[[#This Row],[File Name]],6))</f>
        <v/>
      </c>
      <c r="F200" s="1" t="str">
        <f>IFERROR(IF(FilesTbl[[#This Row],[Old Name]]="","",FilesTbl[[#This Row],[Old Name]]),"")</f>
        <v/>
      </c>
      <c r="G200" s="18" t="str">
        <f>IFERROR(IF(FilesTbl[[#This Row],[Extension]]="","",FilesTbl[[#This Row],[Extension]]),"")</f>
        <v/>
      </c>
      <c r="H200" t="str">
        <f>IFERROR(VLOOKUP(LEFT(CopyTbl[[#This Row],[File Name]],6),MS_Data_TBL[],2,FALSE),"")</f>
        <v/>
      </c>
    </row>
    <row r="201" spans="1:8" ht="45" customHeight="1" x14ac:dyDescent="0.3">
      <c r="A201" s="1" t="str">
        <f>IF(CopyTbl[[#This Row],[File Name]]="","",CopyTbl[[#This Row],[Source Path]]&amp;"\"&amp;CopyTbl[[#This Row],[File Name]]&amp;CopyTbl[[#This Row],[Extend]])</f>
        <v/>
      </c>
      <c r="B20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1" s="29" t="str">
        <f>IF(CopyTbl[[#This Row],[File Name]]="","",Rename!$B$3)</f>
        <v/>
      </c>
      <c r="D201" s="19" t="str">
        <f t="shared" si="4"/>
        <v/>
      </c>
      <c r="E201" s="17" t="str">
        <f>IF(CopyTbl[[#This Row],[File Name]]="","",LEFT(CopyTbl[[#This Row],[File Name]],6))</f>
        <v/>
      </c>
      <c r="F201" s="1" t="str">
        <f>IFERROR(IF(FilesTbl[[#This Row],[Old Name]]="","",FilesTbl[[#This Row],[Old Name]]),"")</f>
        <v/>
      </c>
      <c r="G201" s="18" t="str">
        <f>IFERROR(IF(FilesTbl[[#This Row],[Extension]]="","",FilesTbl[[#This Row],[Extension]]),"")</f>
        <v/>
      </c>
      <c r="H201" t="str">
        <f>IFERROR(VLOOKUP(LEFT(CopyTbl[[#This Row],[File Name]],6),MS_Data_TBL[],2,FALSE),"")</f>
        <v/>
      </c>
    </row>
    <row r="202" spans="1:8" ht="45" customHeight="1" x14ac:dyDescent="0.3">
      <c r="A202" s="1" t="str">
        <f>IF(CopyTbl[[#This Row],[File Name]]="","",CopyTbl[[#This Row],[Source Path]]&amp;"\"&amp;CopyTbl[[#This Row],[File Name]]&amp;CopyTbl[[#This Row],[Extend]])</f>
        <v/>
      </c>
      <c r="B20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2" s="29" t="str">
        <f>IF(CopyTbl[[#This Row],[File Name]]="","",Rename!$B$3)</f>
        <v/>
      </c>
      <c r="D202" s="19" t="str">
        <f t="shared" si="4"/>
        <v/>
      </c>
      <c r="E202" s="17" t="str">
        <f>IF(CopyTbl[[#This Row],[File Name]]="","",LEFT(CopyTbl[[#This Row],[File Name]],6))</f>
        <v/>
      </c>
      <c r="F202" s="1" t="str">
        <f>IFERROR(IF(FilesTbl[[#This Row],[Old Name]]="","",FilesTbl[[#This Row],[Old Name]]),"")</f>
        <v/>
      </c>
      <c r="G202" s="18" t="str">
        <f>IFERROR(IF(FilesTbl[[#This Row],[Extension]]="","",FilesTbl[[#This Row],[Extension]]),"")</f>
        <v/>
      </c>
      <c r="H202" t="str">
        <f>IFERROR(VLOOKUP(LEFT(CopyTbl[[#This Row],[File Name]],6),MS_Data_TBL[],2,FALSE),"")</f>
        <v/>
      </c>
    </row>
    <row r="203" spans="1:8" ht="45" customHeight="1" x14ac:dyDescent="0.3">
      <c r="A203" s="1" t="str">
        <f>IF(CopyTbl[[#This Row],[File Name]]="","",CopyTbl[[#This Row],[Source Path]]&amp;"\"&amp;CopyTbl[[#This Row],[File Name]]&amp;CopyTbl[[#This Row],[Extend]])</f>
        <v/>
      </c>
      <c r="B20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3" s="29" t="str">
        <f>IF(CopyTbl[[#This Row],[File Name]]="","",Rename!$B$3)</f>
        <v/>
      </c>
      <c r="D203" s="19" t="str">
        <f t="shared" si="4"/>
        <v/>
      </c>
      <c r="E203" s="17" t="str">
        <f>IF(CopyTbl[[#This Row],[File Name]]="","",LEFT(CopyTbl[[#This Row],[File Name]],6))</f>
        <v/>
      </c>
      <c r="F203" s="1" t="str">
        <f>IFERROR(IF(FilesTbl[[#This Row],[Old Name]]="","",FilesTbl[[#This Row],[Old Name]]),"")</f>
        <v/>
      </c>
      <c r="G203" s="18" t="str">
        <f>IFERROR(IF(FilesTbl[[#This Row],[Extension]]="","",FilesTbl[[#This Row],[Extension]]),"")</f>
        <v/>
      </c>
      <c r="H203" t="str">
        <f>IFERROR(VLOOKUP(LEFT(CopyTbl[[#This Row],[File Name]],6),MS_Data_TBL[],2,FALSE),"")</f>
        <v/>
      </c>
    </row>
    <row r="204" spans="1:8" ht="45" customHeight="1" x14ac:dyDescent="0.3">
      <c r="A204" s="1" t="str">
        <f>IF(CopyTbl[[#This Row],[File Name]]="","",CopyTbl[[#This Row],[Source Path]]&amp;"\"&amp;CopyTbl[[#This Row],[File Name]]&amp;CopyTbl[[#This Row],[Extend]])</f>
        <v/>
      </c>
      <c r="B20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4" s="29" t="str">
        <f>IF(CopyTbl[[#This Row],[File Name]]="","",Rename!$B$3)</f>
        <v/>
      </c>
      <c r="D204" s="19" t="str">
        <f t="shared" si="4"/>
        <v/>
      </c>
      <c r="E204" s="17" t="str">
        <f>IF(CopyTbl[[#This Row],[File Name]]="","",LEFT(CopyTbl[[#This Row],[File Name]],6))</f>
        <v/>
      </c>
      <c r="F204" s="1" t="str">
        <f>IFERROR(IF(FilesTbl[[#This Row],[Old Name]]="","",FilesTbl[[#This Row],[Old Name]]),"")</f>
        <v/>
      </c>
      <c r="G204" s="18" t="str">
        <f>IFERROR(IF(FilesTbl[[#This Row],[Extension]]="","",FilesTbl[[#This Row],[Extension]]),"")</f>
        <v/>
      </c>
      <c r="H204" t="str">
        <f>IFERROR(VLOOKUP(LEFT(CopyTbl[[#This Row],[File Name]],6),MS_Data_TBL[],2,FALSE),"")</f>
        <v/>
      </c>
    </row>
    <row r="205" spans="1:8" ht="45" customHeight="1" x14ac:dyDescent="0.3">
      <c r="A205" s="1" t="str">
        <f>IF(CopyTbl[[#This Row],[File Name]]="","",CopyTbl[[#This Row],[Source Path]]&amp;"\"&amp;CopyTbl[[#This Row],[File Name]]&amp;CopyTbl[[#This Row],[Extend]])</f>
        <v/>
      </c>
      <c r="B20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5" s="29" t="str">
        <f>IF(CopyTbl[[#This Row],[File Name]]="","",Rename!$B$3)</f>
        <v/>
      </c>
      <c r="D205" s="19" t="str">
        <f t="shared" si="4"/>
        <v/>
      </c>
      <c r="E205" s="17" t="str">
        <f>IF(CopyTbl[[#This Row],[File Name]]="","",LEFT(CopyTbl[[#This Row],[File Name]],6))</f>
        <v/>
      </c>
      <c r="F205" s="1" t="str">
        <f>IFERROR(IF(FilesTbl[[#This Row],[Old Name]]="","",FilesTbl[[#This Row],[Old Name]]),"")</f>
        <v/>
      </c>
      <c r="G205" s="18" t="str">
        <f>IFERROR(IF(FilesTbl[[#This Row],[Extension]]="","",FilesTbl[[#This Row],[Extension]]),"")</f>
        <v/>
      </c>
      <c r="H205" t="str">
        <f>IFERROR(VLOOKUP(LEFT(CopyTbl[[#This Row],[File Name]],6),MS_Data_TBL[],2,FALSE),"")</f>
        <v/>
      </c>
    </row>
    <row r="206" spans="1:8" ht="45" customHeight="1" x14ac:dyDescent="0.3">
      <c r="A206" s="1" t="str">
        <f>IF(CopyTbl[[#This Row],[File Name]]="","",CopyTbl[[#This Row],[Source Path]]&amp;"\"&amp;CopyTbl[[#This Row],[File Name]]&amp;CopyTbl[[#This Row],[Extend]])</f>
        <v/>
      </c>
      <c r="B20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6" s="29" t="str">
        <f>IF(CopyTbl[[#This Row],[File Name]]="","",Rename!$B$3)</f>
        <v/>
      </c>
      <c r="D206" s="19" t="str">
        <f t="shared" si="4"/>
        <v/>
      </c>
      <c r="E206" s="17" t="str">
        <f>IF(CopyTbl[[#This Row],[File Name]]="","",LEFT(CopyTbl[[#This Row],[File Name]],6))</f>
        <v/>
      </c>
      <c r="F206" s="1" t="str">
        <f>IFERROR(IF(FilesTbl[[#This Row],[Old Name]]="","",FilesTbl[[#This Row],[Old Name]]),"")</f>
        <v/>
      </c>
      <c r="G206" s="18" t="str">
        <f>IFERROR(IF(FilesTbl[[#This Row],[Extension]]="","",FilesTbl[[#This Row],[Extension]]),"")</f>
        <v/>
      </c>
      <c r="H206" t="str">
        <f>IFERROR(VLOOKUP(LEFT(CopyTbl[[#This Row],[File Name]],6),MS_Data_TBL[],2,FALSE),"")</f>
        <v/>
      </c>
    </row>
    <row r="207" spans="1:8" ht="45" customHeight="1" x14ac:dyDescent="0.3">
      <c r="A207" s="1" t="str">
        <f>IF(CopyTbl[[#This Row],[File Name]]="","",CopyTbl[[#This Row],[Source Path]]&amp;"\"&amp;CopyTbl[[#This Row],[File Name]]&amp;CopyTbl[[#This Row],[Extend]])</f>
        <v/>
      </c>
      <c r="B20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7" s="29" t="str">
        <f>IF(CopyTbl[[#This Row],[File Name]]="","",Rename!$B$3)</f>
        <v/>
      </c>
      <c r="D207" s="19" t="str">
        <f t="shared" si="4"/>
        <v/>
      </c>
      <c r="E207" s="17" t="str">
        <f>IF(CopyTbl[[#This Row],[File Name]]="","",LEFT(CopyTbl[[#This Row],[File Name]],6))</f>
        <v/>
      </c>
      <c r="F207" s="1" t="str">
        <f>IFERROR(IF(FilesTbl[[#This Row],[Old Name]]="","",FilesTbl[[#This Row],[Old Name]]),"")</f>
        <v/>
      </c>
      <c r="G207" s="18" t="str">
        <f>IFERROR(IF(FilesTbl[[#This Row],[Extension]]="","",FilesTbl[[#This Row],[Extension]]),"")</f>
        <v/>
      </c>
      <c r="H207" t="str">
        <f>IFERROR(VLOOKUP(LEFT(CopyTbl[[#This Row],[File Name]],6),MS_Data_TBL[],2,FALSE),"")</f>
        <v/>
      </c>
    </row>
    <row r="208" spans="1:8" ht="45" customHeight="1" x14ac:dyDescent="0.3">
      <c r="A208" s="1" t="str">
        <f>IF(CopyTbl[[#This Row],[File Name]]="","",CopyTbl[[#This Row],[Source Path]]&amp;"\"&amp;CopyTbl[[#This Row],[File Name]]&amp;CopyTbl[[#This Row],[Extend]])</f>
        <v/>
      </c>
      <c r="B20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8" s="29" t="str">
        <f>IF(CopyTbl[[#This Row],[File Name]]="","",Rename!$B$3)</f>
        <v/>
      </c>
      <c r="D208" s="19" t="str">
        <f t="shared" si="4"/>
        <v/>
      </c>
      <c r="E208" s="17" t="str">
        <f>IF(CopyTbl[[#This Row],[File Name]]="","",LEFT(CopyTbl[[#This Row],[File Name]],6))</f>
        <v/>
      </c>
      <c r="F208" s="1" t="str">
        <f>IFERROR(IF(FilesTbl[[#This Row],[Old Name]]="","",FilesTbl[[#This Row],[Old Name]]),"")</f>
        <v/>
      </c>
      <c r="G208" s="18" t="str">
        <f>IFERROR(IF(FilesTbl[[#This Row],[Extension]]="","",FilesTbl[[#This Row],[Extension]]),"")</f>
        <v/>
      </c>
      <c r="H208" t="str">
        <f>IFERROR(VLOOKUP(LEFT(CopyTbl[[#This Row],[File Name]],6),MS_Data_TBL[],2,FALSE),"")</f>
        <v/>
      </c>
    </row>
    <row r="209" spans="1:8" ht="45" customHeight="1" x14ac:dyDescent="0.3">
      <c r="A209" s="1" t="str">
        <f>IF(CopyTbl[[#This Row],[File Name]]="","",CopyTbl[[#This Row],[Source Path]]&amp;"\"&amp;CopyTbl[[#This Row],[File Name]]&amp;CopyTbl[[#This Row],[Extend]])</f>
        <v/>
      </c>
      <c r="B20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09" s="29" t="str">
        <f>IF(CopyTbl[[#This Row],[File Name]]="","",Rename!$B$3)</f>
        <v/>
      </c>
      <c r="D209" s="19" t="str">
        <f t="shared" si="4"/>
        <v/>
      </c>
      <c r="E209" s="17" t="str">
        <f>IF(CopyTbl[[#This Row],[File Name]]="","",LEFT(CopyTbl[[#This Row],[File Name]],6))</f>
        <v/>
      </c>
      <c r="F209" s="1" t="str">
        <f>IFERROR(IF(FilesTbl[[#This Row],[Old Name]]="","",FilesTbl[[#This Row],[Old Name]]),"")</f>
        <v/>
      </c>
      <c r="G209" s="18" t="str">
        <f>IFERROR(IF(FilesTbl[[#This Row],[Extension]]="","",FilesTbl[[#This Row],[Extension]]),"")</f>
        <v/>
      </c>
      <c r="H209" t="str">
        <f>IFERROR(VLOOKUP(LEFT(CopyTbl[[#This Row],[File Name]],6),MS_Data_TBL[],2,FALSE),"")</f>
        <v/>
      </c>
    </row>
    <row r="210" spans="1:8" ht="45" customHeight="1" x14ac:dyDescent="0.3">
      <c r="A210" s="1" t="str">
        <f>IF(CopyTbl[[#This Row],[File Name]]="","",CopyTbl[[#This Row],[Source Path]]&amp;"\"&amp;CopyTbl[[#This Row],[File Name]]&amp;CopyTbl[[#This Row],[Extend]])</f>
        <v/>
      </c>
      <c r="B21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0" s="29" t="str">
        <f>IF(CopyTbl[[#This Row],[File Name]]="","",Rename!$B$3)</f>
        <v/>
      </c>
      <c r="D210" s="19" t="str">
        <f t="shared" si="4"/>
        <v/>
      </c>
      <c r="E210" s="17" t="str">
        <f>IF(CopyTbl[[#This Row],[File Name]]="","",LEFT(CopyTbl[[#This Row],[File Name]],6))</f>
        <v/>
      </c>
      <c r="F210" s="1" t="str">
        <f>IFERROR(IF(FilesTbl[[#This Row],[Old Name]]="","",FilesTbl[[#This Row],[Old Name]]),"")</f>
        <v/>
      </c>
      <c r="G210" s="18" t="str">
        <f>IFERROR(IF(FilesTbl[[#This Row],[Extension]]="","",FilesTbl[[#This Row],[Extension]]),"")</f>
        <v/>
      </c>
      <c r="H210" t="str">
        <f>IFERROR(VLOOKUP(LEFT(CopyTbl[[#This Row],[File Name]],6),MS_Data_TBL[],2,FALSE),"")</f>
        <v/>
      </c>
    </row>
    <row r="211" spans="1:8" ht="45" customHeight="1" x14ac:dyDescent="0.3">
      <c r="A211" s="1" t="str">
        <f>IF(CopyTbl[[#This Row],[File Name]]="","",CopyTbl[[#This Row],[Source Path]]&amp;"\"&amp;CopyTbl[[#This Row],[File Name]]&amp;CopyTbl[[#This Row],[Extend]])</f>
        <v/>
      </c>
      <c r="B21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1" s="29" t="str">
        <f>IF(CopyTbl[[#This Row],[File Name]]="","",Rename!$B$3)</f>
        <v/>
      </c>
      <c r="D211" s="19" t="str">
        <f t="shared" si="4"/>
        <v/>
      </c>
      <c r="E211" s="17" t="str">
        <f>IF(CopyTbl[[#This Row],[File Name]]="","",LEFT(CopyTbl[[#This Row],[File Name]],6))</f>
        <v/>
      </c>
      <c r="F211" s="1" t="str">
        <f>IFERROR(IF(FilesTbl[[#This Row],[Old Name]]="","",FilesTbl[[#This Row],[Old Name]]),"")</f>
        <v/>
      </c>
      <c r="G211" s="18" t="str">
        <f>IFERROR(IF(FilesTbl[[#This Row],[Extension]]="","",FilesTbl[[#This Row],[Extension]]),"")</f>
        <v/>
      </c>
      <c r="H211" t="str">
        <f>IFERROR(VLOOKUP(LEFT(CopyTbl[[#This Row],[File Name]],6),MS_Data_TBL[],2,FALSE),"")</f>
        <v/>
      </c>
    </row>
    <row r="212" spans="1:8" ht="45" customHeight="1" x14ac:dyDescent="0.3">
      <c r="A212" s="1" t="str">
        <f>IF(CopyTbl[[#This Row],[File Name]]="","",CopyTbl[[#This Row],[Source Path]]&amp;"\"&amp;CopyTbl[[#This Row],[File Name]]&amp;CopyTbl[[#This Row],[Extend]])</f>
        <v/>
      </c>
      <c r="B21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2" s="29" t="str">
        <f>IF(CopyTbl[[#This Row],[File Name]]="","",Rename!$B$3)</f>
        <v/>
      </c>
      <c r="D212" s="19" t="str">
        <f t="shared" si="4"/>
        <v/>
      </c>
      <c r="E212" s="17" t="str">
        <f>IF(CopyTbl[[#This Row],[File Name]]="","",LEFT(CopyTbl[[#This Row],[File Name]],6))</f>
        <v/>
      </c>
      <c r="F212" s="1" t="str">
        <f>IFERROR(IF(FilesTbl[[#This Row],[Old Name]]="","",FilesTbl[[#This Row],[Old Name]]),"")</f>
        <v/>
      </c>
      <c r="G212" s="18" t="str">
        <f>IFERROR(IF(FilesTbl[[#This Row],[Extension]]="","",FilesTbl[[#This Row],[Extension]]),"")</f>
        <v/>
      </c>
      <c r="H212" t="str">
        <f>IFERROR(VLOOKUP(LEFT(CopyTbl[[#This Row],[File Name]],6),MS_Data_TBL[],2,FALSE),"")</f>
        <v/>
      </c>
    </row>
    <row r="213" spans="1:8" ht="45" customHeight="1" x14ac:dyDescent="0.3">
      <c r="A213" s="1" t="str">
        <f>IF(CopyTbl[[#This Row],[File Name]]="","",CopyTbl[[#This Row],[Source Path]]&amp;"\"&amp;CopyTbl[[#This Row],[File Name]]&amp;CopyTbl[[#This Row],[Extend]])</f>
        <v/>
      </c>
      <c r="B21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3" s="29" t="str">
        <f>IF(CopyTbl[[#This Row],[File Name]]="","",Rename!$B$3)</f>
        <v/>
      </c>
      <c r="D213" s="19" t="str">
        <f t="shared" si="4"/>
        <v/>
      </c>
      <c r="E213" s="17" t="str">
        <f>IF(CopyTbl[[#This Row],[File Name]]="","",LEFT(CopyTbl[[#This Row],[File Name]],6))</f>
        <v/>
      </c>
      <c r="F213" s="1" t="str">
        <f>IFERROR(IF(FilesTbl[[#This Row],[Old Name]]="","",FilesTbl[[#This Row],[Old Name]]),"")</f>
        <v/>
      </c>
      <c r="G213" s="18" t="str">
        <f>IFERROR(IF(FilesTbl[[#This Row],[Extension]]="","",FilesTbl[[#This Row],[Extension]]),"")</f>
        <v/>
      </c>
      <c r="H213" t="str">
        <f>IFERROR(VLOOKUP(LEFT(CopyTbl[[#This Row],[File Name]],6),MS_Data_TBL[],2,FALSE),"")</f>
        <v/>
      </c>
    </row>
    <row r="214" spans="1:8" ht="45" customHeight="1" x14ac:dyDescent="0.3">
      <c r="A214" s="1" t="str">
        <f>IF(CopyTbl[[#This Row],[File Name]]="","",CopyTbl[[#This Row],[Source Path]]&amp;"\"&amp;CopyTbl[[#This Row],[File Name]]&amp;CopyTbl[[#This Row],[Extend]])</f>
        <v/>
      </c>
      <c r="B21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4" s="29" t="str">
        <f>IF(CopyTbl[[#This Row],[File Name]]="","",Rename!$B$3)</f>
        <v/>
      </c>
      <c r="D214" s="19" t="str">
        <f t="shared" si="4"/>
        <v/>
      </c>
      <c r="E214" s="17" t="str">
        <f>IF(CopyTbl[[#This Row],[File Name]]="","",LEFT(CopyTbl[[#This Row],[File Name]],6))</f>
        <v/>
      </c>
      <c r="F214" s="1" t="str">
        <f>IFERROR(IF(FilesTbl[[#This Row],[Old Name]]="","",FilesTbl[[#This Row],[Old Name]]),"")</f>
        <v/>
      </c>
      <c r="G214" s="18" t="str">
        <f>IFERROR(IF(FilesTbl[[#This Row],[Extension]]="","",FilesTbl[[#This Row],[Extension]]),"")</f>
        <v/>
      </c>
      <c r="H214" t="str">
        <f>IFERROR(VLOOKUP(LEFT(CopyTbl[[#This Row],[File Name]],6),MS_Data_TBL[],2,FALSE),"")</f>
        <v/>
      </c>
    </row>
    <row r="215" spans="1:8" ht="45" customHeight="1" x14ac:dyDescent="0.3">
      <c r="A215" s="1" t="str">
        <f>IF(CopyTbl[[#This Row],[File Name]]="","",CopyTbl[[#This Row],[Source Path]]&amp;"\"&amp;CopyTbl[[#This Row],[File Name]]&amp;CopyTbl[[#This Row],[Extend]])</f>
        <v/>
      </c>
      <c r="B21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5" s="29" t="str">
        <f>IF(CopyTbl[[#This Row],[File Name]]="","",Rename!$B$3)</f>
        <v/>
      </c>
      <c r="D215" s="19" t="str">
        <f t="shared" si="4"/>
        <v/>
      </c>
      <c r="E215" s="17" t="str">
        <f>IF(CopyTbl[[#This Row],[File Name]]="","",LEFT(CopyTbl[[#This Row],[File Name]],6))</f>
        <v/>
      </c>
      <c r="F215" s="1" t="str">
        <f>IFERROR(IF(FilesTbl[[#This Row],[Old Name]]="","",FilesTbl[[#This Row],[Old Name]]),"")</f>
        <v/>
      </c>
      <c r="G215" s="18" t="str">
        <f>IFERROR(IF(FilesTbl[[#This Row],[Extension]]="","",FilesTbl[[#This Row],[Extension]]),"")</f>
        <v/>
      </c>
      <c r="H215" t="str">
        <f>IFERROR(VLOOKUP(LEFT(CopyTbl[[#This Row],[File Name]],6),MS_Data_TBL[],2,FALSE),"")</f>
        <v/>
      </c>
    </row>
    <row r="216" spans="1:8" ht="45" customHeight="1" x14ac:dyDescent="0.3">
      <c r="A216" s="1" t="str">
        <f>IF(CopyTbl[[#This Row],[File Name]]="","",CopyTbl[[#This Row],[Source Path]]&amp;"\"&amp;CopyTbl[[#This Row],[File Name]]&amp;CopyTbl[[#This Row],[Extend]])</f>
        <v/>
      </c>
      <c r="B21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6" s="29" t="str">
        <f>IF(CopyTbl[[#This Row],[File Name]]="","",Rename!$B$3)</f>
        <v/>
      </c>
      <c r="D216" s="19" t="str">
        <f t="shared" si="4"/>
        <v/>
      </c>
      <c r="E216" s="17" t="str">
        <f>IF(CopyTbl[[#This Row],[File Name]]="","",LEFT(CopyTbl[[#This Row],[File Name]],6))</f>
        <v/>
      </c>
      <c r="F216" s="1" t="str">
        <f>IFERROR(IF(FilesTbl[[#This Row],[Old Name]]="","",FilesTbl[[#This Row],[Old Name]]),"")</f>
        <v/>
      </c>
      <c r="G216" s="18" t="str">
        <f>IFERROR(IF(FilesTbl[[#This Row],[Extension]]="","",FilesTbl[[#This Row],[Extension]]),"")</f>
        <v/>
      </c>
      <c r="H216" t="str">
        <f>IFERROR(VLOOKUP(LEFT(CopyTbl[[#This Row],[File Name]],6),MS_Data_TBL[],2,FALSE),"")</f>
        <v/>
      </c>
    </row>
    <row r="217" spans="1:8" ht="45" customHeight="1" x14ac:dyDescent="0.3">
      <c r="A217" s="1" t="str">
        <f>IF(CopyTbl[[#This Row],[File Name]]="","",CopyTbl[[#This Row],[Source Path]]&amp;"\"&amp;CopyTbl[[#This Row],[File Name]]&amp;CopyTbl[[#This Row],[Extend]])</f>
        <v/>
      </c>
      <c r="B21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7" s="29" t="str">
        <f>IF(CopyTbl[[#This Row],[File Name]]="","",Rename!$B$3)</f>
        <v/>
      </c>
      <c r="D217" s="19" t="str">
        <f t="shared" si="4"/>
        <v/>
      </c>
      <c r="E217" s="17" t="str">
        <f>IF(CopyTbl[[#This Row],[File Name]]="","",LEFT(CopyTbl[[#This Row],[File Name]],6))</f>
        <v/>
      </c>
      <c r="F217" s="1" t="str">
        <f>IFERROR(IF(FilesTbl[[#This Row],[Old Name]]="","",FilesTbl[[#This Row],[Old Name]]),"")</f>
        <v/>
      </c>
      <c r="G217" s="18" t="str">
        <f>IFERROR(IF(FilesTbl[[#This Row],[Extension]]="","",FilesTbl[[#This Row],[Extension]]),"")</f>
        <v/>
      </c>
      <c r="H217" t="str">
        <f>IFERROR(VLOOKUP(LEFT(CopyTbl[[#This Row],[File Name]],6),MS_Data_TBL[],2,FALSE),"")</f>
        <v/>
      </c>
    </row>
    <row r="218" spans="1:8" ht="45" customHeight="1" x14ac:dyDescent="0.3">
      <c r="A218" s="1" t="str">
        <f>IF(CopyTbl[[#This Row],[File Name]]="","",CopyTbl[[#This Row],[Source Path]]&amp;"\"&amp;CopyTbl[[#This Row],[File Name]]&amp;CopyTbl[[#This Row],[Extend]])</f>
        <v/>
      </c>
      <c r="B21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8" s="29" t="str">
        <f>IF(CopyTbl[[#This Row],[File Name]]="","",Rename!$B$3)</f>
        <v/>
      </c>
      <c r="D218" s="19" t="str">
        <f t="shared" ref="D218:D220" si="5">IF(C218="","",D217)</f>
        <v/>
      </c>
      <c r="E218" s="17" t="str">
        <f>IF(CopyTbl[[#This Row],[File Name]]="","",LEFT(CopyTbl[[#This Row],[File Name]],6))</f>
        <v/>
      </c>
      <c r="F218" s="1" t="str">
        <f>IFERROR(IF(FilesTbl[[#This Row],[Old Name]]="","",FilesTbl[[#This Row],[Old Name]]),"")</f>
        <v/>
      </c>
      <c r="G218" s="18" t="str">
        <f>IFERROR(IF(FilesTbl[[#This Row],[Extension]]="","",FilesTbl[[#This Row],[Extension]]),"")</f>
        <v/>
      </c>
      <c r="H218" t="str">
        <f>IFERROR(VLOOKUP(LEFT(CopyTbl[[#This Row],[File Name]],6),MS_Data_TBL[],2,FALSE),"")</f>
        <v/>
      </c>
    </row>
    <row r="219" spans="1:8" ht="45" customHeight="1" x14ac:dyDescent="0.3">
      <c r="A219" s="1" t="str">
        <f>IF(CopyTbl[[#This Row],[File Name]]="","",CopyTbl[[#This Row],[Source Path]]&amp;"\"&amp;CopyTbl[[#This Row],[File Name]]&amp;CopyTbl[[#This Row],[Extend]])</f>
        <v/>
      </c>
      <c r="B21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19" s="29" t="str">
        <f>IF(CopyTbl[[#This Row],[File Name]]="","",Rename!$B$3)</f>
        <v/>
      </c>
      <c r="D219" s="19" t="str">
        <f t="shared" si="5"/>
        <v/>
      </c>
      <c r="E219" s="17" t="str">
        <f>IF(CopyTbl[[#This Row],[File Name]]="","",LEFT(CopyTbl[[#This Row],[File Name]],6))</f>
        <v/>
      </c>
      <c r="F219" s="1" t="str">
        <f>IFERROR(IF(FilesTbl[[#This Row],[Old Name]]="","",FilesTbl[[#This Row],[Old Name]]),"")</f>
        <v/>
      </c>
      <c r="G219" s="18" t="str">
        <f>IFERROR(IF(FilesTbl[[#This Row],[Extension]]="","",FilesTbl[[#This Row],[Extension]]),"")</f>
        <v/>
      </c>
      <c r="H219" t="str">
        <f>IFERROR(VLOOKUP(LEFT(CopyTbl[[#This Row],[File Name]],6),MS_Data_TBL[],2,FALSE),"")</f>
        <v/>
      </c>
    </row>
    <row r="220" spans="1:8" ht="45" customHeight="1" x14ac:dyDescent="0.3">
      <c r="A220" s="1" t="str">
        <f>IF(CopyTbl[[#This Row],[File Name]]="","",CopyTbl[[#This Row],[Source Path]]&amp;"\"&amp;CopyTbl[[#This Row],[File Name]]&amp;CopyTbl[[#This Row],[Extend]])</f>
        <v/>
      </c>
      <c r="B22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0" s="29" t="str">
        <f>IF(CopyTbl[[#This Row],[File Name]]="","",Rename!$B$3)</f>
        <v/>
      </c>
      <c r="D220" s="19" t="str">
        <f t="shared" si="5"/>
        <v/>
      </c>
      <c r="E220" s="17" t="str">
        <f>IF(CopyTbl[[#This Row],[File Name]]="","",LEFT(CopyTbl[[#This Row],[File Name]],6))</f>
        <v/>
      </c>
      <c r="F220" s="1" t="str">
        <f>IFERROR(IF(FilesTbl[[#This Row],[Old Name]]="","",FilesTbl[[#This Row],[Old Name]]),"")</f>
        <v/>
      </c>
      <c r="G220" s="18" t="str">
        <f>IFERROR(IF(FilesTbl[[#This Row],[Extension]]="","",FilesTbl[[#This Row],[Extension]]),"")</f>
        <v/>
      </c>
      <c r="H220" t="str">
        <f>IFERROR(VLOOKUP(LEFT(CopyTbl[[#This Row],[File Name]],6),MS_Data_TBL[],2,FALSE),"")</f>
        <v/>
      </c>
    </row>
    <row r="221" spans="1:8" ht="45" customHeight="1" x14ac:dyDescent="0.3">
      <c r="A221" s="1" t="str">
        <f>IF(CopyTbl[[#This Row],[File Name]]="","",CopyTbl[[#This Row],[Source Path]]&amp;"\"&amp;CopyTbl[[#This Row],[File Name]]&amp;CopyTbl[[#This Row],[Extend]])</f>
        <v/>
      </c>
      <c r="B22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1" s="29" t="str">
        <f>IF(CopyTbl[[#This Row],[File Name]]="","",Rename!$B$3)</f>
        <v/>
      </c>
      <c r="D221" s="19" t="str">
        <f>IF(C221="","",D220)</f>
        <v/>
      </c>
      <c r="E221" s="17" t="str">
        <f>IF(CopyTbl[[#This Row],[File Name]]="","",LEFT(CopyTbl[[#This Row],[File Name]],6))</f>
        <v/>
      </c>
      <c r="F221" s="1" t="str">
        <f>IFERROR(IF(FilesTbl[[#This Row],[Old Name]]="","",FilesTbl[[#This Row],[Old Name]]),"")</f>
        <v/>
      </c>
      <c r="G221" s="18" t="str">
        <f>IFERROR(IF(FilesTbl[[#This Row],[Extension]]="","",FilesTbl[[#This Row],[Extension]]),"")</f>
        <v/>
      </c>
      <c r="H221" t="str">
        <f>IFERROR(VLOOKUP(LEFT(CopyTbl[[#This Row],[File Name]],6),MS_Data_TBL[],2,FALSE),"")</f>
        <v/>
      </c>
    </row>
    <row r="222" spans="1:8" ht="45" customHeight="1" x14ac:dyDescent="0.3">
      <c r="A222" s="1" t="str">
        <f>IF(CopyTbl[[#This Row],[File Name]]="","",CopyTbl[[#This Row],[Source Path]]&amp;"\"&amp;CopyTbl[[#This Row],[File Name]]&amp;CopyTbl[[#This Row],[Extend]])</f>
        <v/>
      </c>
      <c r="B22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2" s="29" t="str">
        <f>IF(CopyTbl[[#This Row],[File Name]]="","",Rename!$B$3)</f>
        <v/>
      </c>
      <c r="D222" s="19" t="str">
        <f t="shared" ref="D222:D232" si="6">IF(C222="","",D221)</f>
        <v/>
      </c>
      <c r="E222" s="17" t="str">
        <f>IF(CopyTbl[[#This Row],[File Name]]="","",LEFT(CopyTbl[[#This Row],[File Name]],6))</f>
        <v/>
      </c>
      <c r="F222" s="1" t="str">
        <f>IFERROR(IF(FilesTbl[[#This Row],[Old Name]]="","",FilesTbl[[#This Row],[Old Name]]),"")</f>
        <v/>
      </c>
      <c r="G222" s="18" t="str">
        <f>IFERROR(IF(FilesTbl[[#This Row],[Extension]]="","",FilesTbl[[#This Row],[Extension]]),"")</f>
        <v/>
      </c>
      <c r="H222" t="str">
        <f>IFERROR(VLOOKUP(LEFT(CopyTbl[[#This Row],[File Name]],6),MS_Data_TBL[],2,FALSE),"")</f>
        <v/>
      </c>
    </row>
    <row r="223" spans="1:8" ht="45" customHeight="1" x14ac:dyDescent="0.3">
      <c r="A223" s="1" t="str">
        <f>IF(CopyTbl[[#This Row],[File Name]]="","",CopyTbl[[#This Row],[Source Path]]&amp;"\"&amp;CopyTbl[[#This Row],[File Name]]&amp;CopyTbl[[#This Row],[Extend]])</f>
        <v/>
      </c>
      <c r="B22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3" s="29" t="str">
        <f>IF(CopyTbl[[#This Row],[File Name]]="","",Rename!$B$3)</f>
        <v/>
      </c>
      <c r="D223" s="19" t="str">
        <f t="shared" si="6"/>
        <v/>
      </c>
      <c r="E223" s="17" t="str">
        <f>IF(CopyTbl[[#This Row],[File Name]]="","",LEFT(CopyTbl[[#This Row],[File Name]],6))</f>
        <v/>
      </c>
      <c r="F223" s="1" t="str">
        <f>IFERROR(IF(FilesTbl[[#This Row],[Old Name]]="","",FilesTbl[[#This Row],[Old Name]]),"")</f>
        <v/>
      </c>
      <c r="G223" s="18" t="str">
        <f>IFERROR(IF(FilesTbl[[#This Row],[Extension]]="","",FilesTbl[[#This Row],[Extension]]),"")</f>
        <v/>
      </c>
      <c r="H223" t="str">
        <f>IFERROR(VLOOKUP(LEFT(CopyTbl[[#This Row],[File Name]],6),MS_Data_TBL[],2,FALSE),"")</f>
        <v/>
      </c>
    </row>
    <row r="224" spans="1:8" ht="45" customHeight="1" x14ac:dyDescent="0.3">
      <c r="A224" s="1" t="str">
        <f>IF(CopyTbl[[#This Row],[File Name]]="","",CopyTbl[[#This Row],[Source Path]]&amp;"\"&amp;CopyTbl[[#This Row],[File Name]]&amp;CopyTbl[[#This Row],[Extend]])</f>
        <v/>
      </c>
      <c r="B22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4" s="29" t="str">
        <f>IF(CopyTbl[[#This Row],[File Name]]="","",Rename!$B$3)</f>
        <v/>
      </c>
      <c r="D224" s="19" t="str">
        <f t="shared" si="6"/>
        <v/>
      </c>
      <c r="E224" s="17" t="str">
        <f>IF(CopyTbl[[#This Row],[File Name]]="","",LEFT(CopyTbl[[#This Row],[File Name]],6))</f>
        <v/>
      </c>
      <c r="F224" s="1" t="str">
        <f>IFERROR(IF(FilesTbl[[#This Row],[Old Name]]="","",FilesTbl[[#This Row],[Old Name]]),"")</f>
        <v/>
      </c>
      <c r="G224" s="18" t="str">
        <f>IFERROR(IF(FilesTbl[[#This Row],[Extension]]="","",FilesTbl[[#This Row],[Extension]]),"")</f>
        <v/>
      </c>
      <c r="H224" t="str">
        <f>IFERROR(VLOOKUP(LEFT(CopyTbl[[#This Row],[File Name]],6),MS_Data_TBL[],2,FALSE),"")</f>
        <v/>
      </c>
    </row>
    <row r="225" spans="1:8" ht="45" customHeight="1" x14ac:dyDescent="0.3">
      <c r="A225" s="1" t="str">
        <f>IF(CopyTbl[[#This Row],[File Name]]="","",CopyTbl[[#This Row],[Source Path]]&amp;"\"&amp;CopyTbl[[#This Row],[File Name]]&amp;CopyTbl[[#This Row],[Extend]])</f>
        <v/>
      </c>
      <c r="B22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5" s="29" t="str">
        <f>IF(CopyTbl[[#This Row],[File Name]]="","",Rename!$B$3)</f>
        <v/>
      </c>
      <c r="D225" s="19" t="str">
        <f t="shared" si="6"/>
        <v/>
      </c>
      <c r="E225" s="17" t="str">
        <f>IF(CopyTbl[[#This Row],[File Name]]="","",LEFT(CopyTbl[[#This Row],[File Name]],6))</f>
        <v/>
      </c>
      <c r="F225" s="1" t="str">
        <f>IFERROR(IF(FilesTbl[[#This Row],[Old Name]]="","",FilesTbl[[#This Row],[Old Name]]),"")</f>
        <v/>
      </c>
      <c r="G225" s="18" t="str">
        <f>IFERROR(IF(FilesTbl[[#This Row],[Extension]]="","",FilesTbl[[#This Row],[Extension]]),"")</f>
        <v/>
      </c>
      <c r="H225" t="str">
        <f>IFERROR(VLOOKUP(LEFT(CopyTbl[[#This Row],[File Name]],6),MS_Data_TBL[],2,FALSE),"")</f>
        <v/>
      </c>
    </row>
    <row r="226" spans="1:8" ht="45" customHeight="1" x14ac:dyDescent="0.3">
      <c r="A226" s="1" t="str">
        <f>IF(CopyTbl[[#This Row],[File Name]]="","",CopyTbl[[#This Row],[Source Path]]&amp;"\"&amp;CopyTbl[[#This Row],[File Name]]&amp;CopyTbl[[#This Row],[Extend]])</f>
        <v/>
      </c>
      <c r="B22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6" s="29" t="str">
        <f>IF(CopyTbl[[#This Row],[File Name]]="","",Rename!$B$3)</f>
        <v/>
      </c>
      <c r="D226" s="19" t="str">
        <f t="shared" si="6"/>
        <v/>
      </c>
      <c r="E226" s="17" t="str">
        <f>IF(CopyTbl[[#This Row],[File Name]]="","",LEFT(CopyTbl[[#This Row],[File Name]],6))</f>
        <v/>
      </c>
      <c r="F226" s="1" t="str">
        <f>IFERROR(IF(FilesTbl[[#This Row],[Old Name]]="","",FilesTbl[[#This Row],[Old Name]]),"")</f>
        <v/>
      </c>
      <c r="G226" s="18" t="str">
        <f>IFERROR(IF(FilesTbl[[#This Row],[Extension]]="","",FilesTbl[[#This Row],[Extension]]),"")</f>
        <v/>
      </c>
      <c r="H226" t="str">
        <f>IFERROR(VLOOKUP(LEFT(CopyTbl[[#This Row],[File Name]],6),MS_Data_TBL[],2,FALSE),"")</f>
        <v/>
      </c>
    </row>
    <row r="227" spans="1:8" ht="45" customHeight="1" x14ac:dyDescent="0.3">
      <c r="A227" s="1" t="str">
        <f>IF(CopyTbl[[#This Row],[File Name]]="","",CopyTbl[[#This Row],[Source Path]]&amp;"\"&amp;CopyTbl[[#This Row],[File Name]]&amp;CopyTbl[[#This Row],[Extend]])</f>
        <v/>
      </c>
      <c r="B22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7" s="29" t="str">
        <f>IF(CopyTbl[[#This Row],[File Name]]="","",Rename!$B$3)</f>
        <v/>
      </c>
      <c r="D227" s="19" t="str">
        <f t="shared" si="6"/>
        <v/>
      </c>
      <c r="E227" s="17" t="str">
        <f>IF(CopyTbl[[#This Row],[File Name]]="","",LEFT(CopyTbl[[#This Row],[File Name]],6))</f>
        <v/>
      </c>
      <c r="F227" s="1" t="str">
        <f>IFERROR(IF(FilesTbl[[#This Row],[Old Name]]="","",FilesTbl[[#This Row],[Old Name]]),"")</f>
        <v/>
      </c>
      <c r="G227" s="18" t="str">
        <f>IFERROR(IF(FilesTbl[[#This Row],[Extension]]="","",FilesTbl[[#This Row],[Extension]]),"")</f>
        <v/>
      </c>
      <c r="H227" t="str">
        <f>IFERROR(VLOOKUP(LEFT(CopyTbl[[#This Row],[File Name]],6),MS_Data_TBL[],2,FALSE),"")</f>
        <v/>
      </c>
    </row>
    <row r="228" spans="1:8" ht="45" customHeight="1" x14ac:dyDescent="0.3">
      <c r="A228" s="1" t="str">
        <f>IF(CopyTbl[[#This Row],[File Name]]="","",CopyTbl[[#This Row],[Source Path]]&amp;"\"&amp;CopyTbl[[#This Row],[File Name]]&amp;CopyTbl[[#This Row],[Extend]])</f>
        <v/>
      </c>
      <c r="B22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8" s="29" t="str">
        <f>IF(CopyTbl[[#This Row],[File Name]]="","",Rename!$B$3)</f>
        <v/>
      </c>
      <c r="D228" s="19" t="str">
        <f t="shared" si="6"/>
        <v/>
      </c>
      <c r="E228" s="17" t="str">
        <f>IF(CopyTbl[[#This Row],[File Name]]="","",LEFT(CopyTbl[[#This Row],[File Name]],6))</f>
        <v/>
      </c>
      <c r="F228" s="1" t="str">
        <f>IFERROR(IF(FilesTbl[[#This Row],[Old Name]]="","",FilesTbl[[#This Row],[Old Name]]),"")</f>
        <v/>
      </c>
      <c r="G228" s="18" t="str">
        <f>IFERROR(IF(FilesTbl[[#This Row],[Extension]]="","",FilesTbl[[#This Row],[Extension]]),"")</f>
        <v/>
      </c>
      <c r="H228" t="str">
        <f>IFERROR(VLOOKUP(LEFT(CopyTbl[[#This Row],[File Name]],6),MS_Data_TBL[],2,FALSE),"")</f>
        <v/>
      </c>
    </row>
    <row r="229" spans="1:8" ht="45" customHeight="1" x14ac:dyDescent="0.3">
      <c r="A229" s="1" t="str">
        <f>IF(CopyTbl[[#This Row],[File Name]]="","",CopyTbl[[#This Row],[Source Path]]&amp;"\"&amp;CopyTbl[[#This Row],[File Name]]&amp;CopyTbl[[#This Row],[Extend]])</f>
        <v/>
      </c>
      <c r="B22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29" s="29" t="str">
        <f>IF(CopyTbl[[#This Row],[File Name]]="","",Rename!$B$3)</f>
        <v/>
      </c>
      <c r="D229" s="19" t="str">
        <f t="shared" si="6"/>
        <v/>
      </c>
      <c r="E229" s="17" t="str">
        <f>IF(CopyTbl[[#This Row],[File Name]]="","",LEFT(CopyTbl[[#This Row],[File Name]],6))</f>
        <v/>
      </c>
      <c r="F229" s="1" t="str">
        <f>IFERROR(IF(FilesTbl[[#This Row],[Old Name]]="","",FilesTbl[[#This Row],[Old Name]]),"")</f>
        <v/>
      </c>
      <c r="G229" s="18" t="str">
        <f>IFERROR(IF(FilesTbl[[#This Row],[Extension]]="","",FilesTbl[[#This Row],[Extension]]),"")</f>
        <v/>
      </c>
      <c r="H229" t="str">
        <f>IFERROR(VLOOKUP(LEFT(CopyTbl[[#This Row],[File Name]],6),MS_Data_TBL[],2,FALSE),"")</f>
        <v/>
      </c>
    </row>
    <row r="230" spans="1:8" ht="45" customHeight="1" x14ac:dyDescent="0.3">
      <c r="A230" s="1" t="str">
        <f>IF(CopyTbl[[#This Row],[File Name]]="","",CopyTbl[[#This Row],[Source Path]]&amp;"\"&amp;CopyTbl[[#This Row],[File Name]]&amp;CopyTbl[[#This Row],[Extend]])</f>
        <v/>
      </c>
      <c r="B23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0" s="29" t="str">
        <f>IF(CopyTbl[[#This Row],[File Name]]="","",Rename!$B$3)</f>
        <v/>
      </c>
      <c r="D230" s="19" t="str">
        <f t="shared" si="6"/>
        <v/>
      </c>
      <c r="E230" s="17" t="str">
        <f>IF(CopyTbl[[#This Row],[File Name]]="","",LEFT(CopyTbl[[#This Row],[File Name]],6))</f>
        <v/>
      </c>
      <c r="F230" s="1" t="str">
        <f>IFERROR(IF(FilesTbl[[#This Row],[Old Name]]="","",FilesTbl[[#This Row],[Old Name]]),"")</f>
        <v/>
      </c>
      <c r="G230" s="18" t="str">
        <f>IFERROR(IF(FilesTbl[[#This Row],[Extension]]="","",FilesTbl[[#This Row],[Extension]]),"")</f>
        <v/>
      </c>
      <c r="H230" t="str">
        <f>IFERROR(VLOOKUP(LEFT(CopyTbl[[#This Row],[File Name]],6),MS_Data_TBL[],2,FALSE),"")</f>
        <v/>
      </c>
    </row>
    <row r="231" spans="1:8" ht="45" customHeight="1" x14ac:dyDescent="0.3">
      <c r="A231" s="1" t="str">
        <f>IF(CopyTbl[[#This Row],[File Name]]="","",CopyTbl[[#This Row],[Source Path]]&amp;"\"&amp;CopyTbl[[#This Row],[File Name]]&amp;CopyTbl[[#This Row],[Extend]])</f>
        <v/>
      </c>
      <c r="B23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1" s="29" t="str">
        <f>IF(CopyTbl[[#This Row],[File Name]]="","",Rename!$B$3)</f>
        <v/>
      </c>
      <c r="D231" s="19" t="str">
        <f t="shared" si="6"/>
        <v/>
      </c>
      <c r="E231" s="17" t="str">
        <f>IF(CopyTbl[[#This Row],[File Name]]="","",LEFT(CopyTbl[[#This Row],[File Name]],6))</f>
        <v/>
      </c>
      <c r="F231" s="1" t="str">
        <f>IFERROR(IF(FilesTbl[[#This Row],[Old Name]]="","",FilesTbl[[#This Row],[Old Name]]),"")</f>
        <v/>
      </c>
      <c r="G231" s="18" t="str">
        <f>IFERROR(IF(FilesTbl[[#This Row],[Extension]]="","",FilesTbl[[#This Row],[Extension]]),"")</f>
        <v/>
      </c>
      <c r="H231" t="str">
        <f>IFERROR(VLOOKUP(LEFT(CopyTbl[[#This Row],[File Name]],6),MS_Data_TBL[],2,FALSE),"")</f>
        <v/>
      </c>
    </row>
    <row r="232" spans="1:8" ht="45" customHeight="1" x14ac:dyDescent="0.3">
      <c r="A232" s="1" t="str">
        <f>IF(CopyTbl[[#This Row],[File Name]]="","",CopyTbl[[#This Row],[Source Path]]&amp;"\"&amp;CopyTbl[[#This Row],[File Name]]&amp;CopyTbl[[#This Row],[Extend]])</f>
        <v/>
      </c>
      <c r="B23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2" s="29" t="str">
        <f>IF(CopyTbl[[#This Row],[File Name]]="","",Rename!$B$3)</f>
        <v/>
      </c>
      <c r="D232" s="19" t="str">
        <f t="shared" si="6"/>
        <v/>
      </c>
      <c r="E232" s="17" t="str">
        <f>IF(CopyTbl[[#This Row],[File Name]]="","",LEFT(CopyTbl[[#This Row],[File Name]],6))</f>
        <v/>
      </c>
      <c r="F232" s="1" t="str">
        <f>IFERROR(IF(FilesTbl[[#This Row],[Old Name]]="","",FilesTbl[[#This Row],[Old Name]]),"")</f>
        <v/>
      </c>
      <c r="G232" s="18" t="str">
        <f>IFERROR(IF(FilesTbl[[#This Row],[Extension]]="","",FilesTbl[[#This Row],[Extension]]),"")</f>
        <v/>
      </c>
      <c r="H232" t="str">
        <f>IFERROR(VLOOKUP(LEFT(CopyTbl[[#This Row],[File Name]],6),MS_Data_TBL[],2,FALSE),"")</f>
        <v/>
      </c>
    </row>
    <row r="233" spans="1:8" ht="45" customHeight="1" x14ac:dyDescent="0.3">
      <c r="A233" s="1" t="str">
        <f>IF(CopyTbl[[#This Row],[File Name]]="","",CopyTbl[[#This Row],[Source Path]]&amp;"\"&amp;CopyTbl[[#This Row],[File Name]]&amp;CopyTbl[[#This Row],[Extend]])</f>
        <v/>
      </c>
      <c r="B233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3" s="29" t="str">
        <f>IF(CopyTbl[[#This Row],[File Name]]="","",Rename!$B$3)</f>
        <v/>
      </c>
      <c r="D233" s="19" t="str">
        <f t="shared" ref="D233:D236" si="7">IF(C233="","",D232)</f>
        <v/>
      </c>
      <c r="E233" s="17" t="str">
        <f>IF(CopyTbl[[#This Row],[File Name]]="","",LEFT(CopyTbl[[#This Row],[File Name]],6))</f>
        <v/>
      </c>
      <c r="F233" s="1" t="str">
        <f>IFERROR(IF(FilesTbl[[#This Row],[Old Name]]="","",FilesTbl[[#This Row],[Old Name]]),"")</f>
        <v/>
      </c>
      <c r="G233" s="18" t="str">
        <f>IFERROR(IF(FilesTbl[[#This Row],[Extension]]="","",FilesTbl[[#This Row],[Extension]]),"")</f>
        <v/>
      </c>
      <c r="H233" t="str">
        <f>IFERROR(VLOOKUP(LEFT(CopyTbl[[#This Row],[File Name]],6),MS_Data_TBL[],2,FALSE),"")</f>
        <v/>
      </c>
    </row>
    <row r="234" spans="1:8" ht="45" customHeight="1" x14ac:dyDescent="0.3">
      <c r="A234" s="1" t="str">
        <f>IF(CopyTbl[[#This Row],[File Name]]="","",CopyTbl[[#This Row],[Source Path]]&amp;"\"&amp;CopyTbl[[#This Row],[File Name]]&amp;CopyTbl[[#This Row],[Extend]])</f>
        <v/>
      </c>
      <c r="B234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4" s="29" t="str">
        <f>IF(CopyTbl[[#This Row],[File Name]]="","",Rename!$B$3)</f>
        <v/>
      </c>
      <c r="D234" s="19" t="str">
        <f t="shared" si="7"/>
        <v/>
      </c>
      <c r="E234" s="17" t="str">
        <f>IF(CopyTbl[[#This Row],[File Name]]="","",LEFT(CopyTbl[[#This Row],[File Name]],6))</f>
        <v/>
      </c>
      <c r="F234" s="1" t="str">
        <f>IFERROR(IF(FilesTbl[[#This Row],[Old Name]]="","",FilesTbl[[#This Row],[Old Name]]),"")</f>
        <v/>
      </c>
      <c r="G234" s="18" t="str">
        <f>IFERROR(IF(FilesTbl[[#This Row],[Extension]]="","",FilesTbl[[#This Row],[Extension]]),"")</f>
        <v/>
      </c>
      <c r="H234" t="str">
        <f>IFERROR(VLOOKUP(LEFT(CopyTbl[[#This Row],[File Name]],6),MS_Data_TBL[],2,FALSE),"")</f>
        <v/>
      </c>
    </row>
    <row r="235" spans="1:8" ht="45" customHeight="1" x14ac:dyDescent="0.3">
      <c r="A235" s="1" t="str">
        <f>IF(CopyTbl[[#This Row],[File Name]]="","",CopyTbl[[#This Row],[Source Path]]&amp;"\"&amp;CopyTbl[[#This Row],[File Name]]&amp;CopyTbl[[#This Row],[Extend]])</f>
        <v/>
      </c>
      <c r="B235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5" s="29" t="str">
        <f>IF(CopyTbl[[#This Row],[File Name]]="","",Rename!$B$3)</f>
        <v/>
      </c>
      <c r="D235" s="19" t="str">
        <f t="shared" si="7"/>
        <v/>
      </c>
      <c r="E235" s="17" t="str">
        <f>IF(CopyTbl[[#This Row],[File Name]]="","",LEFT(CopyTbl[[#This Row],[File Name]],6))</f>
        <v/>
      </c>
      <c r="F235" s="1" t="str">
        <f>IFERROR(IF(FilesTbl[[#This Row],[Old Name]]="","",FilesTbl[[#This Row],[Old Name]]),"")</f>
        <v/>
      </c>
      <c r="G235" s="18" t="str">
        <f>IFERROR(IF(FilesTbl[[#This Row],[Extension]]="","",FilesTbl[[#This Row],[Extension]]),"")</f>
        <v/>
      </c>
      <c r="H235" t="str">
        <f>IFERROR(VLOOKUP(LEFT(CopyTbl[[#This Row],[File Name]],6),MS_Data_TBL[],2,FALSE),"")</f>
        <v/>
      </c>
    </row>
    <row r="236" spans="1:8" ht="45" customHeight="1" x14ac:dyDescent="0.3">
      <c r="A236" s="1" t="str">
        <f>IF(CopyTbl[[#This Row],[File Name]]="","",CopyTbl[[#This Row],[Source Path]]&amp;"\"&amp;CopyTbl[[#This Row],[File Name]]&amp;CopyTbl[[#This Row],[Extend]])</f>
        <v/>
      </c>
      <c r="B236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6" s="29" t="str">
        <f>IF(CopyTbl[[#This Row],[File Name]]="","",Rename!$B$3)</f>
        <v/>
      </c>
      <c r="D236" s="19" t="str">
        <f t="shared" si="7"/>
        <v/>
      </c>
      <c r="E236" s="17" t="str">
        <f>IF(CopyTbl[[#This Row],[File Name]]="","",LEFT(CopyTbl[[#This Row],[File Name]],6))</f>
        <v/>
      </c>
      <c r="F236" s="1" t="str">
        <f>IFERROR(IF(FilesTbl[[#This Row],[Old Name]]="","",FilesTbl[[#This Row],[Old Name]]),"")</f>
        <v/>
      </c>
      <c r="G236" s="18" t="str">
        <f>IFERROR(IF(FilesTbl[[#This Row],[Extension]]="","",FilesTbl[[#This Row],[Extension]]),"")</f>
        <v/>
      </c>
      <c r="H236" t="str">
        <f>IFERROR(VLOOKUP(LEFT(CopyTbl[[#This Row],[File Name]],6),MS_Data_TBL[],2,FALSE),"")</f>
        <v/>
      </c>
    </row>
    <row r="237" spans="1:8" ht="45" customHeight="1" x14ac:dyDescent="0.3">
      <c r="A237" s="1" t="str">
        <f>IF(CopyTbl[[#This Row],[File Name]]="","",CopyTbl[[#This Row],[Source Path]]&amp;"\"&amp;CopyTbl[[#This Row],[File Name]]&amp;CopyTbl[[#This Row],[Extend]])</f>
        <v/>
      </c>
      <c r="B237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7" s="29" t="str">
        <f>IF(CopyTbl[[#This Row],[File Name]]="","",Rename!$B$3)</f>
        <v/>
      </c>
      <c r="D237" s="19" t="str">
        <f t="shared" ref="D237:D241" si="8">IF(C237="","",D236)</f>
        <v/>
      </c>
      <c r="E237" s="17" t="str">
        <f>IF(CopyTbl[[#This Row],[File Name]]="","",LEFT(CopyTbl[[#This Row],[File Name]],6))</f>
        <v/>
      </c>
      <c r="F237" s="1" t="str">
        <f>IFERROR(IF(FilesTbl[[#This Row],[Old Name]]="","",FilesTbl[[#This Row],[Old Name]]),"")</f>
        <v/>
      </c>
      <c r="G237" s="18" t="str">
        <f>IFERROR(IF(FilesTbl[[#This Row],[Extension]]="","",FilesTbl[[#This Row],[Extension]]),"")</f>
        <v/>
      </c>
      <c r="H237" t="str">
        <f>IFERROR(VLOOKUP(LEFT(CopyTbl[[#This Row],[File Name]],6),MS_Data_TBL[],2,FALSE),"")</f>
        <v/>
      </c>
    </row>
    <row r="238" spans="1:8" ht="45" customHeight="1" x14ac:dyDescent="0.3">
      <c r="A238" s="1" t="str">
        <f>IF(CopyTbl[[#This Row],[File Name]]="","",CopyTbl[[#This Row],[Source Path]]&amp;"\"&amp;CopyTbl[[#This Row],[File Name]]&amp;CopyTbl[[#This Row],[Extend]])</f>
        <v/>
      </c>
      <c r="B238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8" s="29" t="str">
        <f>IF(CopyTbl[[#This Row],[File Name]]="","",Rename!$B$3)</f>
        <v/>
      </c>
      <c r="D238" s="19" t="str">
        <f t="shared" si="8"/>
        <v/>
      </c>
      <c r="E238" s="17" t="str">
        <f>IF(CopyTbl[[#This Row],[File Name]]="","",LEFT(CopyTbl[[#This Row],[File Name]],6))</f>
        <v/>
      </c>
      <c r="F238" s="1" t="str">
        <f>IFERROR(IF(FilesTbl[[#This Row],[Old Name]]="","",FilesTbl[[#This Row],[Old Name]]),"")</f>
        <v/>
      </c>
      <c r="G238" s="18" t="str">
        <f>IFERROR(IF(FilesTbl[[#This Row],[Extension]]="","",FilesTbl[[#This Row],[Extension]]),"")</f>
        <v/>
      </c>
      <c r="H238" t="str">
        <f>IFERROR(VLOOKUP(LEFT(CopyTbl[[#This Row],[File Name]],6),MS_Data_TBL[],2,FALSE),"")</f>
        <v/>
      </c>
    </row>
    <row r="239" spans="1:8" ht="45" customHeight="1" x14ac:dyDescent="0.3">
      <c r="A239" s="1" t="str">
        <f>IF(CopyTbl[[#This Row],[File Name]]="","",CopyTbl[[#This Row],[Source Path]]&amp;"\"&amp;CopyTbl[[#This Row],[File Name]]&amp;CopyTbl[[#This Row],[Extend]])</f>
        <v/>
      </c>
      <c r="B239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39" s="29" t="str">
        <f>IF(CopyTbl[[#This Row],[File Name]]="","",Rename!$B$3)</f>
        <v/>
      </c>
      <c r="D239" s="19" t="str">
        <f t="shared" si="8"/>
        <v/>
      </c>
      <c r="E239" s="17" t="str">
        <f>IF(CopyTbl[[#This Row],[File Name]]="","",LEFT(CopyTbl[[#This Row],[File Name]],6))</f>
        <v/>
      </c>
      <c r="F239" s="1" t="str">
        <f>IFERROR(IF(FilesTbl[[#This Row],[Old Name]]="","",FilesTbl[[#This Row],[Old Name]]),"")</f>
        <v/>
      </c>
      <c r="G239" s="18" t="str">
        <f>IFERROR(IF(FilesTbl[[#This Row],[Extension]]="","",FilesTbl[[#This Row],[Extension]]),"")</f>
        <v/>
      </c>
      <c r="H239" t="str">
        <f>IFERROR(VLOOKUP(LEFT(CopyTbl[[#This Row],[File Name]],6),MS_Data_TBL[],2,FALSE),"")</f>
        <v/>
      </c>
    </row>
    <row r="240" spans="1:8" ht="45" customHeight="1" x14ac:dyDescent="0.3">
      <c r="A240" s="1" t="str">
        <f>IF(CopyTbl[[#This Row],[File Name]]="","",CopyTbl[[#This Row],[Source Path]]&amp;"\"&amp;CopyTbl[[#This Row],[File Name]]&amp;CopyTbl[[#This Row],[Extend]])</f>
        <v/>
      </c>
      <c r="B240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40" s="29" t="str">
        <f>IF(CopyTbl[[#This Row],[File Name]]="","",Rename!$B$3)</f>
        <v/>
      </c>
      <c r="D240" s="19" t="str">
        <f t="shared" si="8"/>
        <v/>
      </c>
      <c r="E240" s="17" t="str">
        <f>IF(CopyTbl[[#This Row],[File Name]]="","",LEFT(CopyTbl[[#This Row],[File Name]],6))</f>
        <v/>
      </c>
      <c r="F240" s="1" t="str">
        <f>IFERROR(IF(FilesTbl[[#This Row],[Old Name]]="","",FilesTbl[[#This Row],[Old Name]]),"")</f>
        <v/>
      </c>
      <c r="G240" s="18" t="str">
        <f>IFERROR(IF(FilesTbl[[#This Row],[Extension]]="","",FilesTbl[[#This Row],[Extension]]),"")</f>
        <v/>
      </c>
      <c r="H240" t="str">
        <f>IFERROR(VLOOKUP(LEFT(CopyTbl[[#This Row],[File Name]],6),MS_Data_TBL[],2,FALSE),"")</f>
        <v/>
      </c>
    </row>
    <row r="241" spans="1:8" ht="45" customHeight="1" x14ac:dyDescent="0.3">
      <c r="A241" s="1" t="str">
        <f>IF(CopyTbl[[#This Row],[File Name]]="","",CopyTbl[[#This Row],[Source Path]]&amp;"\"&amp;CopyTbl[[#This Row],[File Name]]&amp;CopyTbl[[#This Row],[Extend]])</f>
        <v/>
      </c>
      <c r="B241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41" s="29" t="str">
        <f>IF(CopyTbl[[#This Row],[File Name]]="","",Rename!$B$3)</f>
        <v/>
      </c>
      <c r="D241" s="19" t="str">
        <f t="shared" si="8"/>
        <v/>
      </c>
      <c r="E241" s="17" t="str">
        <f>IF(CopyTbl[[#This Row],[File Name]]="","",LEFT(CopyTbl[[#This Row],[File Name]],6))</f>
        <v/>
      </c>
      <c r="F241" s="1" t="str">
        <f>IFERROR(IF(FilesTbl[[#This Row],[Old Name]]="","",FilesTbl[[#This Row],[Old Name]]),"")</f>
        <v/>
      </c>
      <c r="G241" s="18" t="str">
        <f>IFERROR(IF(FilesTbl[[#This Row],[Extension]]="","",FilesTbl[[#This Row],[Extension]]),"")</f>
        <v/>
      </c>
      <c r="H241" t="str">
        <f>IFERROR(VLOOKUP(LEFT(CopyTbl[[#This Row],[File Name]],6),MS_Data_TBL[],2,FALSE),"")</f>
        <v/>
      </c>
    </row>
    <row r="242" spans="1:8" ht="45" customHeight="1" x14ac:dyDescent="0.3">
      <c r="A242" s="1" t="str">
        <f>IF(CopyTbl[[#This Row],[File Name]]="","",CopyTbl[[#This Row],[Source Path]]&amp;"\"&amp;CopyTbl[[#This Row],[File Name]]&amp;CopyTbl[[#This Row],[Extend]])</f>
        <v/>
      </c>
      <c r="B242" s="2" t="str">
        <f>IF(CopyTbl[[#This Row],[File Name]]="","",CopyTbl[[#This Row],[Destination Path]]&amp;CopyTbl[[#This Row],[Employee Folder Name]]&amp;"\"&amp;CopyTbl[[#This Row],[File Name]]&amp;CopyTbl[[#This Row],[Extend]])</f>
        <v/>
      </c>
      <c r="C242" s="29" t="str">
        <f>IF(CopyTbl[[#This Row],[File Name]]="","",Rename!$B$3)</f>
        <v/>
      </c>
      <c r="D242" s="19" t="str">
        <f>IF(C242="","",D241)</f>
        <v/>
      </c>
      <c r="E242" s="17" t="str">
        <f>IF(CopyTbl[[#This Row],[File Name]]="","",LEFT(CopyTbl[[#This Row],[File Name]],6))</f>
        <v/>
      </c>
      <c r="F242" s="1" t="str">
        <f>IFERROR(IF(FilesTbl[[#This Row],[Old Name]]="","",FilesTbl[[#This Row],[Old Name]]),"")</f>
        <v/>
      </c>
      <c r="G242" s="18" t="str">
        <f>IFERROR(IF(FilesTbl[[#This Row],[Extension]]="","",FilesTbl[[#This Row],[Extension]]),"")</f>
        <v/>
      </c>
      <c r="H242" t="str">
        <f>IFERROR(VLOOKUP(LEFT(CopyTbl[[#This Row],[File Name]],6),MS_Data_TBL[],2,FALSE),"")</f>
        <v/>
      </c>
    </row>
    <row r="243" spans="1:8" ht="45" customHeight="1" x14ac:dyDescent="0.3"/>
    <row r="244" spans="1:8" ht="45" customHeight="1" x14ac:dyDescent="0.3"/>
    <row r="245" spans="1:8" ht="45" customHeight="1" x14ac:dyDescent="0.3"/>
    <row r="246" spans="1:8" ht="45" customHeight="1" x14ac:dyDescent="0.3"/>
    <row r="247" spans="1:8" ht="45" customHeight="1" x14ac:dyDescent="0.3"/>
    <row r="248" spans="1:8" ht="45" customHeight="1" x14ac:dyDescent="0.3"/>
    <row r="249" spans="1:8" ht="45" customHeight="1" x14ac:dyDescent="0.3"/>
    <row r="250" spans="1:8" ht="45" customHeight="1" x14ac:dyDescent="0.3"/>
    <row r="251" spans="1:8" ht="45" customHeight="1" x14ac:dyDescent="0.3"/>
    <row r="252" spans="1:8" ht="45" customHeight="1" x14ac:dyDescent="0.3"/>
    <row r="253" spans="1:8" ht="45" customHeight="1" x14ac:dyDescent="0.3"/>
    <row r="254" spans="1:8" ht="45" customHeight="1" x14ac:dyDescent="0.3"/>
    <row r="255" spans="1:8" ht="45" customHeight="1" x14ac:dyDescent="0.3"/>
    <row r="256" spans="1:8" ht="45" customHeight="1" x14ac:dyDescent="0.3"/>
    <row r="257" ht="45" customHeight="1" x14ac:dyDescent="0.3"/>
    <row r="258" ht="45" customHeight="1" x14ac:dyDescent="0.3"/>
    <row r="259" ht="45" customHeight="1" x14ac:dyDescent="0.3"/>
    <row r="260" ht="45" customHeight="1" x14ac:dyDescent="0.3"/>
    <row r="261" ht="45" customHeight="1" x14ac:dyDescent="0.3"/>
    <row r="262" ht="45" customHeight="1" x14ac:dyDescent="0.3"/>
    <row r="263" ht="45" customHeight="1" x14ac:dyDescent="0.3"/>
    <row r="264" ht="45" customHeight="1" x14ac:dyDescent="0.3"/>
    <row r="265" ht="45" customHeight="1" x14ac:dyDescent="0.3"/>
    <row r="266" ht="45" customHeight="1" x14ac:dyDescent="0.3"/>
    <row r="267" ht="45" customHeight="1" x14ac:dyDescent="0.3"/>
    <row r="268" ht="45" customHeight="1" x14ac:dyDescent="0.3"/>
    <row r="269" ht="45" customHeight="1" x14ac:dyDescent="0.3"/>
    <row r="270" ht="45" customHeight="1" x14ac:dyDescent="0.3"/>
    <row r="271" ht="45" customHeight="1" x14ac:dyDescent="0.3"/>
    <row r="272" ht="45" customHeight="1" x14ac:dyDescent="0.3"/>
    <row r="273" ht="45" customHeight="1" x14ac:dyDescent="0.3"/>
    <row r="274" ht="45" customHeight="1" x14ac:dyDescent="0.3"/>
    <row r="275" ht="45" customHeight="1" x14ac:dyDescent="0.3"/>
    <row r="276" ht="45" customHeight="1" x14ac:dyDescent="0.3"/>
    <row r="277" ht="45" customHeight="1" x14ac:dyDescent="0.3"/>
    <row r="278" ht="45" customHeight="1" x14ac:dyDescent="0.3"/>
    <row r="279" ht="45" customHeight="1" x14ac:dyDescent="0.3"/>
    <row r="280" ht="45" customHeight="1" x14ac:dyDescent="0.3"/>
    <row r="281" ht="45" customHeight="1" x14ac:dyDescent="0.3"/>
    <row r="282" ht="45" customHeight="1" x14ac:dyDescent="0.3"/>
    <row r="283" ht="45" customHeight="1" x14ac:dyDescent="0.3"/>
    <row r="284" ht="45" customHeight="1" x14ac:dyDescent="0.3"/>
    <row r="285" ht="45" customHeight="1" x14ac:dyDescent="0.3"/>
    <row r="286" ht="45" customHeight="1" x14ac:dyDescent="0.3"/>
    <row r="287" ht="45" customHeight="1" x14ac:dyDescent="0.3"/>
    <row r="288" ht="45" customHeight="1" x14ac:dyDescent="0.3"/>
    <row r="289" ht="45" customHeight="1" x14ac:dyDescent="0.3"/>
    <row r="290" ht="45" customHeight="1" x14ac:dyDescent="0.3"/>
    <row r="291" ht="45" customHeight="1" x14ac:dyDescent="0.3"/>
    <row r="292" ht="45" customHeight="1" x14ac:dyDescent="0.3"/>
    <row r="293" ht="45" customHeight="1" x14ac:dyDescent="0.3"/>
    <row r="294" ht="45" customHeight="1" x14ac:dyDescent="0.3"/>
    <row r="295" ht="45" customHeight="1" x14ac:dyDescent="0.3"/>
    <row r="296" ht="45" customHeight="1" x14ac:dyDescent="0.3"/>
    <row r="297" ht="45" customHeight="1" x14ac:dyDescent="0.3"/>
    <row r="298" ht="45" customHeight="1" x14ac:dyDescent="0.3"/>
    <row r="299" ht="45" customHeight="1" x14ac:dyDescent="0.3"/>
    <row r="300" ht="45" customHeight="1" x14ac:dyDescent="0.3"/>
    <row r="301" ht="45" customHeight="1" x14ac:dyDescent="0.3"/>
    <row r="302" ht="45" customHeight="1" x14ac:dyDescent="0.3"/>
    <row r="303" ht="45" customHeight="1" x14ac:dyDescent="0.3"/>
    <row r="304" ht="45" customHeight="1" x14ac:dyDescent="0.3"/>
    <row r="305" ht="45" customHeight="1" x14ac:dyDescent="0.3"/>
    <row r="306" ht="45" customHeight="1" x14ac:dyDescent="0.3"/>
    <row r="307" ht="45" customHeight="1" x14ac:dyDescent="0.3"/>
    <row r="308" ht="45" customHeight="1" x14ac:dyDescent="0.3"/>
    <row r="309" ht="45" customHeight="1" x14ac:dyDescent="0.3"/>
    <row r="310" ht="45" customHeight="1" x14ac:dyDescent="0.3"/>
    <row r="311" ht="60" customHeight="1" x14ac:dyDescent="0.3"/>
    <row r="312" ht="60" customHeight="1" x14ac:dyDescent="0.3"/>
    <row r="313" ht="60" customHeight="1" x14ac:dyDescent="0.3"/>
    <row r="314" ht="60" customHeight="1" x14ac:dyDescent="0.3"/>
    <row r="315" ht="60" customHeight="1" x14ac:dyDescent="0.3"/>
    <row r="316" ht="60" customHeight="1" x14ac:dyDescent="0.3"/>
    <row r="317" ht="60" customHeight="1" x14ac:dyDescent="0.3"/>
    <row r="318" ht="60" customHeight="1" x14ac:dyDescent="0.3"/>
    <row r="319" ht="60" customHeight="1" x14ac:dyDescent="0.3"/>
    <row r="320" ht="60" customHeight="1" x14ac:dyDescent="0.3"/>
    <row r="321" ht="60" customHeight="1" x14ac:dyDescent="0.3"/>
    <row r="322" ht="60" customHeight="1" x14ac:dyDescent="0.3"/>
    <row r="323" ht="60" customHeight="1" x14ac:dyDescent="0.3"/>
    <row r="324" ht="60" customHeight="1" x14ac:dyDescent="0.3"/>
    <row r="325" ht="60" customHeight="1" x14ac:dyDescent="0.3"/>
    <row r="326" ht="60" customHeight="1" x14ac:dyDescent="0.3"/>
    <row r="327" ht="60" customHeight="1" x14ac:dyDescent="0.3"/>
    <row r="328" ht="60" customHeight="1" x14ac:dyDescent="0.3"/>
    <row r="329" ht="60" customHeight="1" x14ac:dyDescent="0.3"/>
    <row r="330" ht="60" customHeight="1" x14ac:dyDescent="0.3"/>
    <row r="331" ht="60" customHeight="1" x14ac:dyDescent="0.3"/>
    <row r="332" ht="60" customHeight="1" x14ac:dyDescent="0.3"/>
    <row r="333" ht="60" customHeight="1" x14ac:dyDescent="0.3"/>
    <row r="334" ht="60" customHeight="1" x14ac:dyDescent="0.3"/>
    <row r="335" ht="60" customHeight="1" x14ac:dyDescent="0.3"/>
    <row r="336" ht="60" customHeight="1" x14ac:dyDescent="0.3"/>
    <row r="337" ht="60" customHeight="1" x14ac:dyDescent="0.3"/>
    <row r="338" ht="60" customHeight="1" x14ac:dyDescent="0.3"/>
    <row r="339" ht="60" customHeight="1" x14ac:dyDescent="0.3"/>
    <row r="340" ht="60" customHeight="1" x14ac:dyDescent="0.3"/>
    <row r="341" ht="60" customHeight="1" x14ac:dyDescent="0.3"/>
    <row r="342" ht="60" customHeight="1" x14ac:dyDescent="0.3"/>
    <row r="343" ht="60" customHeight="1" x14ac:dyDescent="0.3"/>
    <row r="344" ht="60" customHeight="1" x14ac:dyDescent="0.3"/>
    <row r="345" ht="60" customHeight="1" x14ac:dyDescent="0.3"/>
    <row r="346" ht="60" customHeight="1" x14ac:dyDescent="0.3"/>
    <row r="347" ht="60" customHeight="1" x14ac:dyDescent="0.3"/>
    <row r="348" ht="60" customHeight="1" x14ac:dyDescent="0.3"/>
    <row r="349" ht="60" customHeight="1" x14ac:dyDescent="0.3"/>
    <row r="350" ht="60" customHeight="1" x14ac:dyDescent="0.3"/>
    <row r="351" ht="60" customHeight="1" x14ac:dyDescent="0.3"/>
    <row r="352" ht="60" customHeight="1" x14ac:dyDescent="0.3"/>
    <row r="353" ht="60" customHeight="1" x14ac:dyDescent="0.3"/>
    <row r="354" ht="60" customHeight="1" x14ac:dyDescent="0.3"/>
    <row r="355" ht="60" customHeight="1" x14ac:dyDescent="0.3"/>
    <row r="356" ht="60" customHeight="1" x14ac:dyDescent="0.3"/>
    <row r="357" ht="60" customHeight="1" x14ac:dyDescent="0.3"/>
    <row r="358" ht="60" customHeight="1" x14ac:dyDescent="0.3"/>
    <row r="359" ht="60" customHeight="1" x14ac:dyDescent="0.3"/>
    <row r="360" ht="60" customHeight="1" x14ac:dyDescent="0.3"/>
    <row r="361" ht="60" customHeight="1" x14ac:dyDescent="0.3"/>
    <row r="362" ht="60" customHeight="1" x14ac:dyDescent="0.3"/>
    <row r="363" ht="60" customHeight="1" x14ac:dyDescent="0.3"/>
    <row r="364" ht="60" customHeight="1" x14ac:dyDescent="0.3"/>
    <row r="365" ht="60" customHeight="1" x14ac:dyDescent="0.3"/>
    <row r="366" ht="60" customHeight="1" x14ac:dyDescent="0.3"/>
    <row r="367" ht="60" customHeight="1" x14ac:dyDescent="0.3"/>
    <row r="368" ht="60" customHeight="1" x14ac:dyDescent="0.3"/>
    <row r="369" ht="60" customHeight="1" x14ac:dyDescent="0.3"/>
    <row r="370" ht="60" customHeight="1" x14ac:dyDescent="0.3"/>
    <row r="371" ht="60" customHeight="1" x14ac:dyDescent="0.3"/>
    <row r="372" ht="60" customHeight="1" x14ac:dyDescent="0.3"/>
    <row r="373" ht="60" customHeight="1" x14ac:dyDescent="0.3"/>
    <row r="374" ht="60" customHeight="1" x14ac:dyDescent="0.3"/>
    <row r="375" ht="60" customHeight="1" x14ac:dyDescent="0.3"/>
    <row r="376" ht="60" customHeight="1" x14ac:dyDescent="0.3"/>
    <row r="377" ht="60" customHeight="1" x14ac:dyDescent="0.3"/>
    <row r="378" ht="60" customHeight="1" x14ac:dyDescent="0.3"/>
    <row r="379" ht="60" customHeight="1" x14ac:dyDescent="0.3"/>
    <row r="380" ht="60" customHeight="1" x14ac:dyDescent="0.3"/>
    <row r="381" ht="60" customHeight="1" x14ac:dyDescent="0.3"/>
    <row r="382" ht="60" customHeight="1" x14ac:dyDescent="0.3"/>
    <row r="383" ht="60" customHeight="1" x14ac:dyDescent="0.3"/>
    <row r="384" ht="60" customHeight="1" x14ac:dyDescent="0.3"/>
    <row r="385" ht="60" customHeight="1" x14ac:dyDescent="0.3"/>
    <row r="386" ht="60" customHeight="1" x14ac:dyDescent="0.3"/>
    <row r="387" ht="60" customHeight="1" x14ac:dyDescent="0.3"/>
    <row r="388" ht="60" customHeight="1" x14ac:dyDescent="0.3"/>
    <row r="389" ht="60" customHeight="1" x14ac:dyDescent="0.3"/>
    <row r="390" ht="60" customHeight="1" x14ac:dyDescent="0.3"/>
    <row r="391" ht="60" customHeight="1" x14ac:dyDescent="0.3"/>
    <row r="392" ht="60" customHeight="1" x14ac:dyDescent="0.3"/>
    <row r="393" ht="60" customHeight="1" x14ac:dyDescent="0.3"/>
    <row r="394" ht="60" customHeight="1" x14ac:dyDescent="0.3"/>
    <row r="395" ht="60" customHeight="1" x14ac:dyDescent="0.3"/>
    <row r="396" ht="60" customHeight="1" x14ac:dyDescent="0.3"/>
    <row r="397" ht="60" customHeight="1" x14ac:dyDescent="0.3"/>
    <row r="398" ht="60" customHeight="1" x14ac:dyDescent="0.3"/>
    <row r="399" ht="60" customHeight="1" x14ac:dyDescent="0.3"/>
    <row r="400" ht="60" customHeight="1" x14ac:dyDescent="0.3"/>
    <row r="401" ht="60" customHeight="1" x14ac:dyDescent="0.3"/>
    <row r="402" ht="60" customHeight="1" x14ac:dyDescent="0.3"/>
    <row r="403" ht="60" customHeight="1" x14ac:dyDescent="0.3"/>
    <row r="404" ht="60" customHeight="1" x14ac:dyDescent="0.3"/>
    <row r="405" ht="60" customHeight="1" x14ac:dyDescent="0.3"/>
    <row r="406" ht="60" customHeight="1" x14ac:dyDescent="0.3"/>
    <row r="407" ht="60" customHeight="1" x14ac:dyDescent="0.3"/>
    <row r="408" ht="60" customHeight="1" x14ac:dyDescent="0.3"/>
    <row r="409" ht="60" customHeight="1" x14ac:dyDescent="0.3"/>
    <row r="410" ht="60" customHeight="1" x14ac:dyDescent="0.3"/>
    <row r="411" ht="60" customHeight="1" x14ac:dyDescent="0.3"/>
    <row r="412" ht="60" customHeight="1" x14ac:dyDescent="0.3"/>
    <row r="413" ht="60" customHeight="1" x14ac:dyDescent="0.3"/>
    <row r="414" ht="60" customHeight="1" x14ac:dyDescent="0.3"/>
    <row r="415" ht="60" customHeight="1" x14ac:dyDescent="0.3"/>
    <row r="416" ht="60" customHeight="1" x14ac:dyDescent="0.3"/>
    <row r="417" ht="60" customHeight="1" x14ac:dyDescent="0.3"/>
    <row r="418" ht="60" customHeight="1" x14ac:dyDescent="0.3"/>
    <row r="419" ht="60" customHeight="1" x14ac:dyDescent="0.3"/>
    <row r="420" ht="60" customHeight="1" x14ac:dyDescent="0.3"/>
    <row r="421" ht="60" customHeight="1" x14ac:dyDescent="0.3"/>
    <row r="422" ht="60" customHeight="1" x14ac:dyDescent="0.3"/>
    <row r="423" ht="60" customHeight="1" x14ac:dyDescent="0.3"/>
    <row r="424" ht="60" customHeight="1" x14ac:dyDescent="0.3"/>
    <row r="425" ht="60" customHeight="1" x14ac:dyDescent="0.3"/>
    <row r="426" ht="60" customHeight="1" x14ac:dyDescent="0.3"/>
    <row r="427" ht="60" customHeight="1" x14ac:dyDescent="0.3"/>
    <row r="428" ht="60" customHeight="1" x14ac:dyDescent="0.3"/>
    <row r="429" ht="60" customHeight="1" x14ac:dyDescent="0.3"/>
    <row r="430" ht="60" customHeight="1" x14ac:dyDescent="0.3"/>
    <row r="431" ht="60" customHeight="1" x14ac:dyDescent="0.3"/>
    <row r="432" ht="60" customHeight="1" x14ac:dyDescent="0.3"/>
    <row r="433" ht="60" customHeight="1" x14ac:dyDescent="0.3"/>
    <row r="434" ht="60" customHeight="1" x14ac:dyDescent="0.3"/>
    <row r="435" ht="60" customHeight="1" x14ac:dyDescent="0.3"/>
    <row r="436" ht="60" customHeight="1" x14ac:dyDescent="0.3"/>
    <row r="437" ht="60" customHeight="1" x14ac:dyDescent="0.3"/>
    <row r="438" ht="60" customHeight="1" x14ac:dyDescent="0.3"/>
    <row r="439" ht="60" customHeight="1" x14ac:dyDescent="0.3"/>
    <row r="440" ht="60" customHeight="1" x14ac:dyDescent="0.3"/>
    <row r="441" ht="60" customHeight="1" x14ac:dyDescent="0.3"/>
    <row r="442" ht="60" customHeight="1" x14ac:dyDescent="0.3"/>
    <row r="443" ht="60" customHeight="1" x14ac:dyDescent="0.3"/>
    <row r="444" ht="60" customHeight="1" x14ac:dyDescent="0.3"/>
    <row r="445" ht="60" customHeight="1" x14ac:dyDescent="0.3"/>
    <row r="446" ht="60" customHeight="1" x14ac:dyDescent="0.3"/>
    <row r="447" ht="60" customHeight="1" x14ac:dyDescent="0.3"/>
    <row r="448" ht="60" customHeight="1" x14ac:dyDescent="0.3"/>
    <row r="449" ht="60" customHeight="1" x14ac:dyDescent="0.3"/>
    <row r="450" ht="60" customHeight="1" x14ac:dyDescent="0.3"/>
    <row r="451" ht="60" customHeight="1" x14ac:dyDescent="0.3"/>
    <row r="452" ht="60" customHeight="1" x14ac:dyDescent="0.3"/>
    <row r="453" ht="60" customHeight="1" x14ac:dyDescent="0.3"/>
    <row r="454" ht="60" customHeight="1" x14ac:dyDescent="0.3"/>
    <row r="455" ht="60" customHeight="1" x14ac:dyDescent="0.3"/>
    <row r="456" ht="60" customHeight="1" x14ac:dyDescent="0.3"/>
    <row r="457" ht="60" customHeight="1" x14ac:dyDescent="0.3"/>
    <row r="458" ht="60" customHeight="1" x14ac:dyDescent="0.3"/>
    <row r="459" ht="60" customHeight="1" x14ac:dyDescent="0.3"/>
    <row r="460" ht="60" customHeight="1" x14ac:dyDescent="0.3"/>
    <row r="461" ht="60" customHeight="1" x14ac:dyDescent="0.3"/>
    <row r="462" ht="60" customHeight="1" x14ac:dyDescent="0.3"/>
    <row r="463" ht="60" customHeight="1" x14ac:dyDescent="0.3"/>
    <row r="464" ht="60" customHeight="1" x14ac:dyDescent="0.3"/>
    <row r="465" ht="60" customHeight="1" x14ac:dyDescent="0.3"/>
    <row r="466" ht="60" customHeight="1" x14ac:dyDescent="0.3"/>
    <row r="467" ht="60" customHeight="1" x14ac:dyDescent="0.3"/>
    <row r="468" ht="60" customHeight="1" x14ac:dyDescent="0.3"/>
    <row r="469" ht="60" customHeight="1" x14ac:dyDescent="0.3"/>
    <row r="470" ht="60" customHeight="1" x14ac:dyDescent="0.3"/>
    <row r="471" ht="60" customHeight="1" x14ac:dyDescent="0.3"/>
    <row r="472" ht="60" customHeight="1" x14ac:dyDescent="0.3"/>
    <row r="473" ht="60" customHeight="1" x14ac:dyDescent="0.3"/>
    <row r="474" ht="60" customHeight="1" x14ac:dyDescent="0.3"/>
    <row r="475" ht="60" customHeight="1" x14ac:dyDescent="0.3"/>
    <row r="476" ht="60" customHeight="1" x14ac:dyDescent="0.3"/>
    <row r="477" ht="60" customHeight="1" x14ac:dyDescent="0.3"/>
    <row r="478" ht="60" customHeight="1" x14ac:dyDescent="0.3"/>
    <row r="479" ht="60" customHeight="1" x14ac:dyDescent="0.3"/>
    <row r="480" ht="60" customHeight="1" x14ac:dyDescent="0.3"/>
    <row r="481" ht="60" customHeight="1" x14ac:dyDescent="0.3"/>
    <row r="482" ht="60" customHeight="1" x14ac:dyDescent="0.3"/>
    <row r="483" ht="60" customHeight="1" x14ac:dyDescent="0.3"/>
    <row r="484" ht="60" customHeight="1" x14ac:dyDescent="0.3"/>
    <row r="485" ht="60" customHeight="1" x14ac:dyDescent="0.3"/>
    <row r="486" ht="60" customHeight="1" x14ac:dyDescent="0.3"/>
    <row r="487" ht="60" customHeight="1" x14ac:dyDescent="0.3"/>
    <row r="488" ht="60" customHeight="1" x14ac:dyDescent="0.3"/>
    <row r="489" ht="60" customHeight="1" x14ac:dyDescent="0.3"/>
    <row r="490" ht="60" customHeight="1" x14ac:dyDescent="0.3"/>
    <row r="491" ht="60" customHeight="1" x14ac:dyDescent="0.3"/>
    <row r="492" ht="60" customHeight="1" x14ac:dyDescent="0.3"/>
    <row r="493" ht="60" customHeight="1" x14ac:dyDescent="0.3"/>
    <row r="494" ht="60" customHeight="1" x14ac:dyDescent="0.3"/>
    <row r="495" ht="60" customHeight="1" x14ac:dyDescent="0.3"/>
    <row r="496" ht="60" customHeight="1" x14ac:dyDescent="0.3"/>
    <row r="497" ht="60" customHeight="1" x14ac:dyDescent="0.3"/>
    <row r="498" ht="60" customHeight="1" x14ac:dyDescent="0.3"/>
    <row r="499" ht="60" customHeight="1" x14ac:dyDescent="0.3"/>
    <row r="500" ht="60" customHeight="1" x14ac:dyDescent="0.3"/>
    <row r="501" ht="60" customHeight="1" x14ac:dyDescent="0.3"/>
    <row r="502" ht="60" customHeight="1" x14ac:dyDescent="0.3"/>
    <row r="503" ht="60" customHeight="1" x14ac:dyDescent="0.3"/>
    <row r="504" ht="60" customHeight="1" x14ac:dyDescent="0.3"/>
    <row r="505" ht="60" customHeight="1" x14ac:dyDescent="0.3"/>
    <row r="506" ht="60" customHeight="1" x14ac:dyDescent="0.3"/>
    <row r="507" ht="60" customHeight="1" x14ac:dyDescent="0.3"/>
    <row r="508" ht="60" customHeight="1" x14ac:dyDescent="0.3"/>
    <row r="509" ht="60" customHeight="1" x14ac:dyDescent="0.3"/>
    <row r="510" ht="60" customHeight="1" x14ac:dyDescent="0.3"/>
    <row r="511" ht="60" customHeight="1" x14ac:dyDescent="0.3"/>
    <row r="512" ht="60" customHeight="1" x14ac:dyDescent="0.3"/>
  </sheetData>
  <sheetProtection algorithmName="SHA-512" hashValue="AO8huZzjaTz/xVyrnEjMVs7Ii7IlgXoELuiVKkVgoetQlRyHYttggk5h53+aHZKPak9D+/HWKhbGUFM0HQ6MsA==" saltValue="AuzJOyFo87ixlFFD+TMYJg==" spinCount="100000" sheet="1" scenarios="1" autoFilter="0"/>
  <conditionalFormatting sqref="E1:E1048576">
    <cfRule type="duplicateValues" dxfId="21" priority="649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EDBB6-D27B-43A5-AC88-4C0567C4E419}">
  <sheetPr codeName="Sh_Lists">
    <tabColor rgb="FFC00000"/>
  </sheetPr>
  <dimension ref="B2:H15"/>
  <sheetViews>
    <sheetView workbookViewId="0">
      <selection activeCell="B20" sqref="B20"/>
    </sheetView>
  </sheetViews>
  <sheetFormatPr defaultRowHeight="14.4" x14ac:dyDescent="0.3"/>
  <sheetData>
    <row r="2" spans="2:8" x14ac:dyDescent="0.3">
      <c r="B2" s="5" t="s">
        <v>148</v>
      </c>
      <c r="C2" s="5"/>
      <c r="D2" s="5"/>
      <c r="E2" s="5"/>
      <c r="F2" s="5" t="s">
        <v>81</v>
      </c>
      <c r="G2" s="5" t="s">
        <v>148</v>
      </c>
      <c r="H2" s="5"/>
    </row>
    <row r="3" spans="2:8" x14ac:dyDescent="0.3">
      <c r="B3" s="7" t="s">
        <v>142</v>
      </c>
      <c r="C3" s="7" t="s">
        <v>61</v>
      </c>
      <c r="D3" s="7" t="s">
        <v>121</v>
      </c>
      <c r="E3" s="7" t="s">
        <v>149</v>
      </c>
      <c r="F3" s="6"/>
      <c r="G3" s="6" t="s">
        <v>120</v>
      </c>
      <c r="H3" s="6" t="s">
        <v>119</v>
      </c>
    </row>
    <row r="4" spans="2:8" x14ac:dyDescent="0.3">
      <c r="B4" s="7">
        <v>1</v>
      </c>
      <c r="C4" s="80" t="s">
        <v>118</v>
      </c>
      <c r="D4" s="81" t="s">
        <v>117</v>
      </c>
      <c r="E4" s="44">
        <v>2019</v>
      </c>
      <c r="F4" s="6"/>
      <c r="G4" s="6" t="s">
        <v>116</v>
      </c>
      <c r="H4" s="6" t="s">
        <v>115</v>
      </c>
    </row>
    <row r="5" spans="2:8" x14ac:dyDescent="0.3">
      <c r="B5" s="7">
        <v>2</v>
      </c>
      <c r="C5" s="80" t="s">
        <v>114</v>
      </c>
      <c r="D5" s="81" t="s">
        <v>113</v>
      </c>
      <c r="E5" s="44">
        <v>2020</v>
      </c>
      <c r="F5" s="6"/>
      <c r="G5" s="6" t="s">
        <v>112</v>
      </c>
      <c r="H5" s="6" t="s">
        <v>111</v>
      </c>
    </row>
    <row r="6" spans="2:8" x14ac:dyDescent="0.3">
      <c r="B6" s="7">
        <v>3</v>
      </c>
      <c r="C6" s="80" t="s">
        <v>110</v>
      </c>
      <c r="D6" s="81" t="s">
        <v>109</v>
      </c>
      <c r="E6" s="44">
        <v>2021</v>
      </c>
      <c r="F6" s="6"/>
      <c r="G6" s="6" t="s">
        <v>108</v>
      </c>
      <c r="H6" s="6" t="s">
        <v>107</v>
      </c>
    </row>
    <row r="7" spans="2:8" x14ac:dyDescent="0.3">
      <c r="B7" s="7">
        <v>4</v>
      </c>
      <c r="C7" s="80" t="s">
        <v>106</v>
      </c>
      <c r="D7" s="81" t="s">
        <v>105</v>
      </c>
      <c r="E7" s="44">
        <v>2022</v>
      </c>
      <c r="F7" s="6"/>
      <c r="G7" s="6" t="s">
        <v>104</v>
      </c>
      <c r="H7" s="6" t="s">
        <v>103</v>
      </c>
    </row>
    <row r="8" spans="2:8" x14ac:dyDescent="0.3">
      <c r="B8" s="7">
        <v>5</v>
      </c>
      <c r="C8" s="80" t="s">
        <v>102</v>
      </c>
      <c r="D8" s="81" t="s">
        <v>101</v>
      </c>
      <c r="E8" s="44">
        <v>2023</v>
      </c>
      <c r="F8" s="6"/>
      <c r="G8" s="6" t="s">
        <v>100</v>
      </c>
      <c r="H8" s="6" t="s">
        <v>99</v>
      </c>
    </row>
    <row r="9" spans="2:8" x14ac:dyDescent="0.3">
      <c r="B9" s="7">
        <v>6</v>
      </c>
      <c r="C9" s="80" t="s">
        <v>98</v>
      </c>
      <c r="D9" s="81" t="s">
        <v>97</v>
      </c>
      <c r="E9" s="44">
        <v>2024</v>
      </c>
      <c r="F9" s="6"/>
      <c r="G9" s="6" t="s">
        <v>96</v>
      </c>
      <c r="H9" s="6" t="s">
        <v>95</v>
      </c>
    </row>
    <row r="10" spans="2:8" x14ac:dyDescent="0.3">
      <c r="B10" s="7">
        <v>7</v>
      </c>
      <c r="C10" s="80" t="s">
        <v>94</v>
      </c>
      <c r="D10" s="81" t="s">
        <v>93</v>
      </c>
      <c r="E10" s="44">
        <v>2025</v>
      </c>
      <c r="F10" s="6"/>
      <c r="G10" s="6" t="s">
        <v>92</v>
      </c>
      <c r="H10" s="6" t="s">
        <v>56</v>
      </c>
    </row>
    <row r="11" spans="2:8" x14ac:dyDescent="0.3">
      <c r="B11" s="7">
        <v>8</v>
      </c>
      <c r="C11" s="80" t="s">
        <v>91</v>
      </c>
      <c r="D11" s="81" t="s">
        <v>90</v>
      </c>
      <c r="E11" s="44">
        <v>2026</v>
      </c>
      <c r="F11" s="6"/>
      <c r="G11" s="6"/>
      <c r="H11" s="6"/>
    </row>
    <row r="12" spans="2:8" x14ac:dyDescent="0.3">
      <c r="B12" s="7">
        <v>9</v>
      </c>
      <c r="C12" s="80" t="s">
        <v>89</v>
      </c>
      <c r="D12" s="81" t="s">
        <v>88</v>
      </c>
      <c r="E12" s="44">
        <v>2027</v>
      </c>
      <c r="F12" s="6"/>
      <c r="G12" s="6"/>
      <c r="H12" s="6"/>
    </row>
    <row r="13" spans="2:8" x14ac:dyDescent="0.3">
      <c r="B13" s="7">
        <v>10</v>
      </c>
      <c r="C13" s="80" t="s">
        <v>87</v>
      </c>
      <c r="D13" s="81" t="s">
        <v>86</v>
      </c>
      <c r="E13" s="44">
        <v>2028</v>
      </c>
      <c r="F13" s="6"/>
      <c r="G13" s="6"/>
      <c r="H13" s="6"/>
    </row>
    <row r="14" spans="2:8" x14ac:dyDescent="0.3">
      <c r="B14" s="7">
        <v>11</v>
      </c>
      <c r="C14" s="80" t="s">
        <v>85</v>
      </c>
      <c r="D14" s="81" t="s">
        <v>84</v>
      </c>
      <c r="E14" s="44">
        <v>2029</v>
      </c>
      <c r="F14" s="6"/>
      <c r="G14" s="6"/>
      <c r="H14" s="6"/>
    </row>
    <row r="15" spans="2:8" x14ac:dyDescent="0.3">
      <c r="B15" s="7">
        <v>12</v>
      </c>
      <c r="C15" s="80" t="s">
        <v>83</v>
      </c>
      <c r="D15" s="81" t="s">
        <v>82</v>
      </c>
      <c r="E15" s="44">
        <v>2030</v>
      </c>
      <c r="F15" s="6"/>
      <c r="G15" s="6"/>
      <c r="H15" s="6"/>
    </row>
  </sheetData>
  <sheetProtection algorithmName="SHA-512" hashValue="m1qt8TJuisBLJNWra2mPyBqpPbW2IMCQG5P5UPiqZv8erSTNPAZy4yWYmiPY4gkRXapag0bInPzQMefI+zVlLw==" saltValue="PJv5eqwHkwM2RPynTCoirw==" spinCount="100000" sheet="1" scenarios="1" autoFilter="0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F0F3AF-666F-4730-A865-1BFA3D8293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Data</vt:lpstr>
      <vt:lpstr>Rename</vt:lpstr>
      <vt:lpstr>CopyFiles</vt:lpstr>
      <vt:lpstr>LISTS</vt:lpstr>
      <vt:lpstr>HR_Code_Staff</vt:lpstr>
    </vt:vector>
  </TitlesOfParts>
  <Company>DDD 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IDLIB OFFICE</dc:subject>
  <dc:creator>Ahmad Alhasan</dc:creator>
  <cp:lastModifiedBy>Ahmed El Hassan</cp:lastModifiedBy>
  <cp:lastPrinted>2023-06-13T22:38:27Z</cp:lastPrinted>
  <dcterms:created xsi:type="dcterms:W3CDTF">2021-06-01T08:08:39Z</dcterms:created>
  <dcterms:modified xsi:type="dcterms:W3CDTF">2024-08-18T09:02:16Z</dcterms:modified>
</cp:coreProperties>
</file>